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7d7e26835183ae7/Documents/"/>
    </mc:Choice>
  </mc:AlternateContent>
  <xr:revisionPtr revIDLastSave="202" documentId="8_{76E7EB9E-0262-4982-8E32-98F70167D698}" xr6:coauthVersionLast="47" xr6:coauthVersionMax="47" xr10:uidLastSave="{192D14E0-0EA6-44D0-AA54-27010ECB1C3F}"/>
  <bookViews>
    <workbookView xWindow="-108" yWindow="-108" windowWidth="23256" windowHeight="12456" activeTab="2" xr2:uid="{782A229E-A262-4BC3-AC23-14984C000BC4}"/>
  </bookViews>
  <sheets>
    <sheet name="Sheet1" sheetId="1" r:id="rId1"/>
    <sheet name="Sheet2" sheetId="2" r:id="rId2"/>
    <sheet name="Dashboard" sheetId="5" r:id="rId3"/>
  </sheets>
  <definedNames>
    <definedName name="Slicer_Months__Date">#N/A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2" i="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C52" i="1"/>
  <c r="D52" i="1" s="1"/>
  <c r="C53" i="1"/>
  <c r="D53" i="1" s="1"/>
  <c r="C54" i="1"/>
  <c r="D54" i="1" s="1"/>
  <c r="C55" i="1"/>
  <c r="D55" i="1" s="1"/>
  <c r="C56" i="1"/>
  <c r="D56" i="1" s="1"/>
  <c r="C57" i="1"/>
  <c r="D57" i="1" s="1"/>
  <c r="C58" i="1"/>
  <c r="D58" i="1" s="1"/>
  <c r="C59" i="1"/>
  <c r="D59" i="1" s="1"/>
  <c r="C60" i="1"/>
  <c r="D60" i="1" s="1"/>
  <c r="C61" i="1"/>
  <c r="D61" i="1" s="1"/>
  <c r="C62" i="1"/>
  <c r="D62" i="1" s="1"/>
  <c r="C63" i="1"/>
  <c r="D63" i="1" s="1"/>
  <c r="C64" i="1"/>
  <c r="D64" i="1" s="1"/>
  <c r="C65" i="1"/>
  <c r="D65" i="1" s="1"/>
  <c r="C66" i="1"/>
  <c r="D66" i="1" s="1"/>
  <c r="C67" i="1"/>
  <c r="D67" i="1" s="1"/>
  <c r="C68" i="1"/>
  <c r="D68" i="1" s="1"/>
  <c r="C69" i="1"/>
  <c r="D69" i="1" s="1"/>
  <c r="C70" i="1"/>
  <c r="D70" i="1" s="1"/>
  <c r="C71" i="1"/>
  <c r="D71" i="1" s="1"/>
  <c r="C72" i="1"/>
  <c r="D72" i="1" s="1"/>
  <c r="C73" i="1"/>
  <c r="D73" i="1" s="1"/>
  <c r="C74" i="1"/>
  <c r="D74" i="1" s="1"/>
  <c r="C75" i="1"/>
  <c r="D75" i="1" s="1"/>
  <c r="C76" i="1"/>
  <c r="D76" i="1" s="1"/>
  <c r="C77" i="1"/>
  <c r="D77" i="1" s="1"/>
  <c r="C78" i="1"/>
  <c r="D78" i="1" s="1"/>
  <c r="C79" i="1"/>
  <c r="D79" i="1" s="1"/>
  <c r="C80" i="1"/>
  <c r="D80" i="1" s="1"/>
  <c r="C81" i="1"/>
  <c r="D81" i="1" s="1"/>
  <c r="C82" i="1"/>
  <c r="D82" i="1" s="1"/>
  <c r="C83" i="1"/>
  <c r="D83" i="1" s="1"/>
  <c r="C84" i="1"/>
  <c r="D84" i="1" s="1"/>
  <c r="C85" i="1"/>
  <c r="D85" i="1" s="1"/>
  <c r="C86" i="1"/>
  <c r="D86" i="1" s="1"/>
  <c r="C87" i="1"/>
  <c r="D87" i="1" s="1"/>
  <c r="C88" i="1"/>
  <c r="D88" i="1" s="1"/>
  <c r="C89" i="1"/>
  <c r="D89" i="1" s="1"/>
  <c r="C90" i="1"/>
  <c r="D90" i="1" s="1"/>
  <c r="C91" i="1"/>
  <c r="D91" i="1" s="1"/>
  <c r="C92" i="1"/>
  <c r="D92" i="1" s="1"/>
  <c r="C93" i="1"/>
  <c r="D93" i="1" s="1"/>
  <c r="C94" i="1"/>
  <c r="D94" i="1" s="1"/>
  <c r="C95" i="1"/>
  <c r="D95" i="1" s="1"/>
  <c r="C96" i="1"/>
  <c r="D96" i="1" s="1"/>
  <c r="C97" i="1"/>
  <c r="D97" i="1" s="1"/>
  <c r="C98" i="1"/>
  <c r="D98" i="1" s="1"/>
  <c r="C99" i="1"/>
  <c r="D99" i="1" s="1"/>
  <c r="C100" i="1"/>
  <c r="D100" i="1" s="1"/>
  <c r="C101" i="1"/>
  <c r="D101" i="1" s="1"/>
  <c r="C102" i="1"/>
  <c r="D102" i="1" s="1"/>
  <c r="C103" i="1"/>
  <c r="D103" i="1" s="1"/>
  <c r="C104" i="1"/>
  <c r="D104" i="1" s="1"/>
  <c r="C105" i="1"/>
  <c r="D105" i="1" s="1"/>
  <c r="C106" i="1"/>
  <c r="D106" i="1" s="1"/>
  <c r="C107" i="1"/>
  <c r="D107" i="1" s="1"/>
  <c r="C108" i="1"/>
  <c r="D108" i="1" s="1"/>
  <c r="C109" i="1"/>
  <c r="D109" i="1" s="1"/>
  <c r="C110" i="1"/>
  <c r="D110" i="1" s="1"/>
  <c r="C111" i="1"/>
  <c r="D111" i="1" s="1"/>
  <c r="C112" i="1"/>
  <c r="D112" i="1" s="1"/>
  <c r="C113" i="1"/>
  <c r="D113" i="1" s="1"/>
  <c r="C114" i="1"/>
  <c r="D114" i="1" s="1"/>
  <c r="C115" i="1"/>
  <c r="D115" i="1" s="1"/>
  <c r="C116" i="1"/>
  <c r="D116" i="1" s="1"/>
  <c r="C117" i="1"/>
  <c r="D117" i="1" s="1"/>
  <c r="C118" i="1"/>
  <c r="D118" i="1" s="1"/>
  <c r="C119" i="1"/>
  <c r="D119" i="1" s="1"/>
  <c r="C120" i="1"/>
  <c r="D120" i="1" s="1"/>
  <c r="C121" i="1"/>
  <c r="D121" i="1" s="1"/>
  <c r="C122" i="1"/>
  <c r="D122" i="1" s="1"/>
  <c r="C123" i="1"/>
  <c r="D123" i="1" s="1"/>
  <c r="C124" i="1"/>
  <c r="D124" i="1" s="1"/>
  <c r="C125" i="1"/>
  <c r="D125" i="1" s="1"/>
  <c r="C126" i="1"/>
  <c r="D126" i="1" s="1"/>
  <c r="C127" i="1"/>
  <c r="D127" i="1" s="1"/>
  <c r="C128" i="1"/>
  <c r="D128" i="1" s="1"/>
  <c r="C129" i="1"/>
  <c r="D129" i="1" s="1"/>
  <c r="C130" i="1"/>
  <c r="D130" i="1" s="1"/>
  <c r="C131" i="1"/>
  <c r="D131" i="1" s="1"/>
  <c r="C132" i="1"/>
  <c r="D132" i="1" s="1"/>
  <c r="C133" i="1"/>
  <c r="D133" i="1" s="1"/>
  <c r="C134" i="1"/>
  <c r="D134" i="1" s="1"/>
  <c r="C135" i="1"/>
  <c r="D135" i="1" s="1"/>
  <c r="C136" i="1"/>
  <c r="D136" i="1" s="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D154" i="1" s="1"/>
  <c r="C155" i="1"/>
  <c r="D155" i="1" s="1"/>
  <c r="C156" i="1"/>
  <c r="D156" i="1" s="1"/>
  <c r="C157" i="1"/>
  <c r="D157" i="1" s="1"/>
  <c r="C158" i="1"/>
  <c r="D158" i="1" s="1"/>
  <c r="C159" i="1"/>
  <c r="D159" i="1" s="1"/>
  <c r="C160" i="1"/>
  <c r="D160" i="1" s="1"/>
  <c r="C161" i="1"/>
  <c r="D161" i="1" s="1"/>
  <c r="C162" i="1"/>
  <c r="D162" i="1" s="1"/>
  <c r="C163" i="1"/>
  <c r="D163" i="1" s="1"/>
  <c r="C164" i="1"/>
  <c r="D164" i="1" s="1"/>
  <c r="C165" i="1"/>
  <c r="D165" i="1" s="1"/>
  <c r="C166" i="1"/>
  <c r="D166" i="1" s="1"/>
  <c r="C167" i="1"/>
  <c r="D167" i="1" s="1"/>
  <c r="C168" i="1"/>
  <c r="D168" i="1" s="1"/>
  <c r="C169" i="1"/>
  <c r="D169" i="1" s="1"/>
  <c r="C170" i="1"/>
  <c r="D170" i="1" s="1"/>
  <c r="C171" i="1"/>
  <c r="D171" i="1" s="1"/>
  <c r="C172" i="1"/>
  <c r="D172" i="1" s="1"/>
  <c r="C173" i="1"/>
  <c r="D173" i="1" s="1"/>
  <c r="C174" i="1"/>
  <c r="D174" i="1" s="1"/>
  <c r="C175" i="1"/>
  <c r="D175" i="1" s="1"/>
  <c r="C176" i="1"/>
  <c r="D176" i="1" s="1"/>
  <c r="C177" i="1"/>
  <c r="D177" i="1" s="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D234" i="1" s="1"/>
  <c r="C235" i="1"/>
  <c r="D235" i="1" s="1"/>
  <c r="C236" i="1"/>
  <c r="D236" i="1" s="1"/>
  <c r="C237" i="1"/>
  <c r="D237" i="1" s="1"/>
  <c r="C238" i="1"/>
  <c r="D238" i="1" s="1"/>
  <c r="C239" i="1"/>
  <c r="D239" i="1" s="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D251" i="1" s="1"/>
  <c r="C252" i="1"/>
  <c r="D252" i="1" s="1"/>
  <c r="C253" i="1"/>
  <c r="D253" i="1" s="1"/>
  <c r="C254" i="1"/>
  <c r="D254" i="1" s="1"/>
  <c r="C255" i="1"/>
  <c r="D255" i="1" s="1"/>
  <c r="C256" i="1"/>
  <c r="D256" i="1" s="1"/>
  <c r="C257" i="1"/>
  <c r="D257" i="1" s="1"/>
  <c r="C258" i="1"/>
  <c r="D258" i="1" s="1"/>
  <c r="C259" i="1"/>
  <c r="D259" i="1" s="1"/>
  <c r="C260" i="1"/>
  <c r="D260" i="1" s="1"/>
  <c r="C261" i="1"/>
  <c r="D261" i="1" s="1"/>
  <c r="C262" i="1"/>
  <c r="D262" i="1" s="1"/>
  <c r="C263" i="1"/>
  <c r="D263" i="1" s="1"/>
  <c r="C264" i="1"/>
  <c r="D264" i="1" s="1"/>
  <c r="C265" i="1"/>
  <c r="D265" i="1" s="1"/>
  <c r="C266" i="1"/>
  <c r="D266" i="1" s="1"/>
  <c r="C267" i="1"/>
  <c r="D267" i="1" s="1"/>
  <c r="C268" i="1"/>
  <c r="D268" i="1" s="1"/>
  <c r="C269" i="1"/>
  <c r="D269" i="1" s="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D359" i="1" s="1"/>
  <c r="C360" i="1"/>
  <c r="D360" i="1" s="1"/>
  <c r="C361" i="1"/>
  <c r="D361" i="1" s="1"/>
  <c r="C362" i="1"/>
  <c r="D362" i="1" s="1"/>
  <c r="C363" i="1"/>
  <c r="D363" i="1" s="1"/>
  <c r="C364" i="1"/>
  <c r="D364" i="1" s="1"/>
  <c r="C365" i="1"/>
  <c r="D365" i="1" s="1"/>
  <c r="C366" i="1"/>
  <c r="D366" i="1" s="1"/>
  <c r="C3" i="1"/>
  <c r="D3" i="1" s="1"/>
  <c r="C4" i="1"/>
  <c r="D4" i="1" s="1"/>
  <c r="C5" i="1"/>
  <c r="D5" i="1" s="1"/>
  <c r="C6" i="1"/>
  <c r="D6" i="1" s="1"/>
  <c r="C2" i="1"/>
  <c r="D2" i="1" s="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91" i="1"/>
  <c r="B92" i="1"/>
  <c r="B93" i="1"/>
  <c r="B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2" i="1"/>
  <c r="F154" i="1" l="1"/>
  <c r="H154" i="1" s="1"/>
  <c r="F106" i="1"/>
  <c r="H106" i="1" s="1"/>
  <c r="F26" i="1"/>
  <c r="H26" i="1" s="1"/>
  <c r="F298" i="1"/>
  <c r="H298" i="1" s="1"/>
  <c r="F234" i="1"/>
  <c r="H234" i="1" s="1"/>
  <c r="F218" i="1"/>
  <c r="H218" i="1" s="1"/>
  <c r="F306" i="1"/>
  <c r="H306" i="1" s="1"/>
  <c r="F158" i="1"/>
  <c r="H158" i="1" s="1"/>
  <c r="F41" i="1"/>
  <c r="H41" i="1" s="1"/>
  <c r="F305" i="1"/>
  <c r="H305" i="1" s="1"/>
  <c r="F153" i="1"/>
  <c r="H153" i="1" s="1"/>
  <c r="F25" i="1"/>
  <c r="H25" i="1" s="1"/>
  <c r="F297" i="1"/>
  <c r="H297" i="1" s="1"/>
  <c r="F145" i="1"/>
  <c r="H145" i="1" s="1"/>
  <c r="F233" i="1"/>
  <c r="H233" i="1" s="1"/>
  <c r="F105" i="1"/>
  <c r="H105" i="1" s="1"/>
  <c r="F89" i="1"/>
  <c r="H89" i="1" s="1"/>
  <c r="F198" i="1"/>
  <c r="H198" i="1" s="1"/>
  <c r="F81" i="1"/>
  <c r="H81" i="1" s="1"/>
  <c r="F346" i="1"/>
  <c r="H346" i="1" s="1"/>
  <c r="F281" i="1"/>
  <c r="H281" i="1" s="1"/>
  <c r="F194" i="1"/>
  <c r="H194" i="1" s="1"/>
  <c r="F138" i="1"/>
  <c r="H138" i="1" s="1"/>
  <c r="F74" i="1"/>
  <c r="H74" i="1" s="1"/>
  <c r="F345" i="1"/>
  <c r="H345" i="1" s="1"/>
  <c r="F273" i="1"/>
  <c r="H273" i="1" s="1"/>
  <c r="F193" i="1"/>
  <c r="H193" i="1" s="1"/>
  <c r="F129" i="1"/>
  <c r="H129" i="1" s="1"/>
  <c r="F66" i="1"/>
  <c r="H66" i="1" s="1"/>
  <c r="F337" i="1"/>
  <c r="H337" i="1" s="1"/>
  <c r="F266" i="1"/>
  <c r="H266" i="1" s="1"/>
  <c r="F178" i="1"/>
  <c r="H178" i="1" s="1"/>
  <c r="F114" i="1"/>
  <c r="H114" i="1" s="1"/>
  <c r="F65" i="1"/>
  <c r="H65" i="1" s="1"/>
  <c r="F321" i="1"/>
  <c r="H321" i="1" s="1"/>
  <c r="F258" i="1"/>
  <c r="H258" i="1" s="1"/>
  <c r="F177" i="1"/>
  <c r="H177" i="1" s="1"/>
  <c r="F113" i="1"/>
  <c r="H113" i="1" s="1"/>
  <c r="F42" i="1"/>
  <c r="H42" i="1" s="1"/>
  <c r="F70" i="1"/>
  <c r="H70" i="1" s="1"/>
  <c r="F330" i="1"/>
  <c r="H330" i="1" s="1"/>
  <c r="F287" i="1"/>
  <c r="H287" i="1" s="1"/>
  <c r="F257" i="1"/>
  <c r="H257" i="1" s="1"/>
  <c r="F217" i="1"/>
  <c r="H217" i="1" s="1"/>
  <c r="F170" i="1"/>
  <c r="H170" i="1" s="1"/>
  <c r="F134" i="1"/>
  <c r="H134" i="1" s="1"/>
  <c r="F94" i="1"/>
  <c r="H94" i="1" s="1"/>
  <c r="F50" i="1"/>
  <c r="H50" i="1" s="1"/>
  <c r="F17" i="1"/>
  <c r="H17" i="1" s="1"/>
  <c r="F262" i="1"/>
  <c r="H262" i="1" s="1"/>
  <c r="F222" i="1"/>
  <c r="H222" i="1" s="1"/>
  <c r="F95" i="1"/>
  <c r="H95" i="1" s="1"/>
  <c r="F362" i="1"/>
  <c r="H362" i="1" s="1"/>
  <c r="F326" i="1"/>
  <c r="H326" i="1" s="1"/>
  <c r="F286" i="1"/>
  <c r="H286" i="1" s="1"/>
  <c r="F242" i="1"/>
  <c r="H242" i="1" s="1"/>
  <c r="F209" i="1"/>
  <c r="H209" i="1" s="1"/>
  <c r="F169" i="1"/>
  <c r="H169" i="1" s="1"/>
  <c r="F130" i="1"/>
  <c r="H130" i="1" s="1"/>
  <c r="F90" i="1"/>
  <c r="H90" i="1" s="1"/>
  <c r="F49" i="1"/>
  <c r="H49" i="1" s="1"/>
  <c r="F10" i="1"/>
  <c r="H10" i="1" s="1"/>
  <c r="F351" i="1"/>
  <c r="H351" i="1" s="1"/>
  <c r="F350" i="1"/>
  <c r="H350" i="1" s="1"/>
  <c r="F31" i="1"/>
  <c r="H31" i="1" s="1"/>
  <c r="F223" i="1"/>
  <c r="H223" i="1" s="1"/>
  <c r="F30" i="1"/>
  <c r="H30" i="1" s="1"/>
  <c r="F361" i="1"/>
  <c r="H361" i="1" s="1"/>
  <c r="F322" i="1"/>
  <c r="H322" i="1" s="1"/>
  <c r="F282" i="1"/>
  <c r="H282" i="1" s="1"/>
  <c r="F241" i="1"/>
  <c r="H241" i="1" s="1"/>
  <c r="F202" i="1"/>
  <c r="H202" i="1" s="1"/>
  <c r="F159" i="1"/>
  <c r="H159" i="1" s="1"/>
  <c r="F336" i="1"/>
  <c r="H336" i="1" s="1"/>
  <c r="F311" i="1"/>
  <c r="H311" i="1" s="1"/>
  <c r="F80" i="1"/>
  <c r="H80" i="1" s="1"/>
  <c r="F360" i="1"/>
  <c r="H360" i="1" s="1"/>
  <c r="F335" i="1"/>
  <c r="H335" i="1" s="1"/>
  <c r="F296" i="1"/>
  <c r="H296" i="1" s="1"/>
  <c r="F271" i="1"/>
  <c r="H271" i="1" s="1"/>
  <c r="F207" i="1"/>
  <c r="H207" i="1" s="1"/>
  <c r="F182" i="1"/>
  <c r="H182" i="1" s="1"/>
  <c r="F168" i="1"/>
  <c r="H168" i="1" s="1"/>
  <c r="F143" i="1"/>
  <c r="H143" i="1" s="1"/>
  <c r="F118" i="1"/>
  <c r="H118" i="1" s="1"/>
  <c r="F40" i="1"/>
  <c r="H40" i="1" s="1"/>
  <c r="F334" i="1"/>
  <c r="H334" i="1" s="1"/>
  <c r="F270" i="1"/>
  <c r="H270" i="1" s="1"/>
  <c r="F256" i="1"/>
  <c r="H256" i="1" s="1"/>
  <c r="F231" i="1"/>
  <c r="H231" i="1" s="1"/>
  <c r="F206" i="1"/>
  <c r="H206" i="1" s="1"/>
  <c r="F167" i="1"/>
  <c r="H167" i="1" s="1"/>
  <c r="F78" i="1"/>
  <c r="H78" i="1" s="1"/>
  <c r="F64" i="1"/>
  <c r="H64" i="1" s="1"/>
  <c r="F344" i="1"/>
  <c r="H344" i="1" s="1"/>
  <c r="F280" i="1"/>
  <c r="H280" i="1" s="1"/>
  <c r="F230" i="1"/>
  <c r="H230" i="1" s="1"/>
  <c r="F216" i="1"/>
  <c r="H216" i="1" s="1"/>
  <c r="F166" i="1"/>
  <c r="H166" i="1" s="1"/>
  <c r="F152" i="1"/>
  <c r="H152" i="1" s="1"/>
  <c r="F102" i="1"/>
  <c r="H102" i="1" s="1"/>
  <c r="F88" i="1"/>
  <c r="H88" i="1" s="1"/>
  <c r="F63" i="1"/>
  <c r="H63" i="1" s="1"/>
  <c r="F38" i="1"/>
  <c r="H38" i="1" s="1"/>
  <c r="F24" i="1"/>
  <c r="H24" i="1" s="1"/>
  <c r="F354" i="1"/>
  <c r="H354" i="1" s="1"/>
  <c r="F343" i="1"/>
  <c r="H343" i="1" s="1"/>
  <c r="F329" i="1"/>
  <c r="H329" i="1" s="1"/>
  <c r="F318" i="1"/>
  <c r="H318" i="1" s="1"/>
  <c r="F304" i="1"/>
  <c r="H304" i="1" s="1"/>
  <c r="F290" i="1"/>
  <c r="H290" i="1" s="1"/>
  <c r="F279" i="1"/>
  <c r="H279" i="1" s="1"/>
  <c r="F265" i="1"/>
  <c r="H265" i="1" s="1"/>
  <c r="F254" i="1"/>
  <c r="H254" i="1" s="1"/>
  <c r="F240" i="1"/>
  <c r="H240" i="1" s="1"/>
  <c r="F226" i="1"/>
  <c r="H226" i="1" s="1"/>
  <c r="F215" i="1"/>
  <c r="H215" i="1" s="1"/>
  <c r="F201" i="1"/>
  <c r="H201" i="1" s="1"/>
  <c r="F190" i="1"/>
  <c r="H190" i="1" s="1"/>
  <c r="F176" i="1"/>
  <c r="H176" i="1" s="1"/>
  <c r="F162" i="1"/>
  <c r="H162" i="1" s="1"/>
  <c r="F151" i="1"/>
  <c r="H151" i="1" s="1"/>
  <c r="F137" i="1"/>
  <c r="H137" i="1" s="1"/>
  <c r="F126" i="1"/>
  <c r="H126" i="1" s="1"/>
  <c r="F112" i="1"/>
  <c r="H112" i="1" s="1"/>
  <c r="F98" i="1"/>
  <c r="H98" i="1" s="1"/>
  <c r="F87" i="1"/>
  <c r="H87" i="1" s="1"/>
  <c r="F73" i="1"/>
  <c r="H73" i="1" s="1"/>
  <c r="F62" i="1"/>
  <c r="H62" i="1" s="1"/>
  <c r="F48" i="1"/>
  <c r="H48" i="1" s="1"/>
  <c r="F34" i="1"/>
  <c r="H34" i="1" s="1"/>
  <c r="F23" i="1"/>
  <c r="H23" i="1" s="1"/>
  <c r="F9" i="1"/>
  <c r="H9" i="1" s="1"/>
  <c r="F120" i="1"/>
  <c r="H120" i="1" s="1"/>
  <c r="F208" i="1"/>
  <c r="H208" i="1" s="1"/>
  <c r="F183" i="1"/>
  <c r="H183" i="1" s="1"/>
  <c r="F55" i="1"/>
  <c r="H55" i="1" s="1"/>
  <c r="F16" i="1"/>
  <c r="H16" i="1" s="1"/>
  <c r="F232" i="1"/>
  <c r="H232" i="1" s="1"/>
  <c r="F104" i="1"/>
  <c r="H104" i="1" s="1"/>
  <c r="F320" i="1"/>
  <c r="H320" i="1" s="1"/>
  <c r="F295" i="1"/>
  <c r="H295" i="1" s="1"/>
  <c r="F192" i="1"/>
  <c r="H192" i="1" s="1"/>
  <c r="F142" i="1"/>
  <c r="H142" i="1" s="1"/>
  <c r="F128" i="1"/>
  <c r="H128" i="1" s="1"/>
  <c r="F103" i="1"/>
  <c r="H103" i="1" s="1"/>
  <c r="F14" i="1"/>
  <c r="H14" i="1" s="1"/>
  <c r="F358" i="1"/>
  <c r="H358" i="1" s="1"/>
  <c r="F319" i="1"/>
  <c r="H319" i="1" s="1"/>
  <c r="F255" i="1"/>
  <c r="H255" i="1" s="1"/>
  <c r="F191" i="1"/>
  <c r="H191" i="1" s="1"/>
  <c r="F127" i="1"/>
  <c r="H127" i="1" s="1"/>
  <c r="F353" i="1"/>
  <c r="H353" i="1" s="1"/>
  <c r="F342" i="1"/>
  <c r="H342" i="1" s="1"/>
  <c r="F328" i="1"/>
  <c r="H328" i="1" s="1"/>
  <c r="F314" i="1"/>
  <c r="H314" i="1" s="1"/>
  <c r="F303" i="1"/>
  <c r="H303" i="1" s="1"/>
  <c r="F289" i="1"/>
  <c r="H289" i="1" s="1"/>
  <c r="F278" i="1"/>
  <c r="H278" i="1" s="1"/>
  <c r="F264" i="1"/>
  <c r="H264" i="1" s="1"/>
  <c r="F250" i="1"/>
  <c r="H250" i="1" s="1"/>
  <c r="F239" i="1"/>
  <c r="H239" i="1" s="1"/>
  <c r="F225" i="1"/>
  <c r="H225" i="1" s="1"/>
  <c r="F214" i="1"/>
  <c r="H214" i="1" s="1"/>
  <c r="F200" i="1"/>
  <c r="H200" i="1" s="1"/>
  <c r="F186" i="1"/>
  <c r="H186" i="1" s="1"/>
  <c r="F175" i="1"/>
  <c r="H175" i="1" s="1"/>
  <c r="F161" i="1"/>
  <c r="H161" i="1" s="1"/>
  <c r="F150" i="1"/>
  <c r="H150" i="1" s="1"/>
  <c r="F136" i="1"/>
  <c r="H136" i="1" s="1"/>
  <c r="F122" i="1"/>
  <c r="H122" i="1" s="1"/>
  <c r="F111" i="1"/>
  <c r="H111" i="1" s="1"/>
  <c r="F97" i="1"/>
  <c r="H97" i="1" s="1"/>
  <c r="F86" i="1"/>
  <c r="H86" i="1" s="1"/>
  <c r="F72" i="1"/>
  <c r="H72" i="1" s="1"/>
  <c r="F58" i="1"/>
  <c r="H58" i="1" s="1"/>
  <c r="F47" i="1"/>
  <c r="H47" i="1" s="1"/>
  <c r="F33" i="1"/>
  <c r="H33" i="1" s="1"/>
  <c r="F22" i="1"/>
  <c r="H22" i="1" s="1"/>
  <c r="F8" i="1"/>
  <c r="H8" i="1" s="1"/>
  <c r="F312" i="1"/>
  <c r="H312" i="1" s="1"/>
  <c r="F248" i="1"/>
  <c r="H248" i="1" s="1"/>
  <c r="F184" i="1"/>
  <c r="H184" i="1" s="1"/>
  <c r="F56" i="1"/>
  <c r="H56" i="1" s="1"/>
  <c r="F272" i="1"/>
  <c r="H272" i="1" s="1"/>
  <c r="F247" i="1"/>
  <c r="H247" i="1" s="1"/>
  <c r="F144" i="1"/>
  <c r="H144" i="1" s="1"/>
  <c r="F119" i="1"/>
  <c r="H119" i="1" s="1"/>
  <c r="F310" i="1"/>
  <c r="H310" i="1" s="1"/>
  <c r="F246" i="1"/>
  <c r="H246" i="1" s="1"/>
  <c r="F79" i="1"/>
  <c r="H79" i="1" s="1"/>
  <c r="F54" i="1"/>
  <c r="H54" i="1" s="1"/>
  <c r="F15" i="1"/>
  <c r="H15" i="1" s="1"/>
  <c r="F359" i="1"/>
  <c r="H359" i="1" s="1"/>
  <c r="F39" i="1"/>
  <c r="H39" i="1" s="1"/>
  <c r="F294" i="1"/>
  <c r="H294" i="1" s="1"/>
  <c r="F366" i="1"/>
  <c r="H366" i="1" s="1"/>
  <c r="F352" i="1"/>
  <c r="H352" i="1" s="1"/>
  <c r="F338" i="1"/>
  <c r="H338" i="1" s="1"/>
  <c r="F327" i="1"/>
  <c r="H327" i="1" s="1"/>
  <c r="F313" i="1"/>
  <c r="H313" i="1" s="1"/>
  <c r="F302" i="1"/>
  <c r="H302" i="1" s="1"/>
  <c r="F288" i="1"/>
  <c r="H288" i="1" s="1"/>
  <c r="F274" i="1"/>
  <c r="H274" i="1" s="1"/>
  <c r="F263" i="1"/>
  <c r="H263" i="1" s="1"/>
  <c r="F249" i="1"/>
  <c r="H249" i="1" s="1"/>
  <c r="F238" i="1"/>
  <c r="H238" i="1" s="1"/>
  <c r="F224" i="1"/>
  <c r="H224" i="1" s="1"/>
  <c r="F210" i="1"/>
  <c r="H210" i="1" s="1"/>
  <c r="F199" i="1"/>
  <c r="H199" i="1" s="1"/>
  <c r="F185" i="1"/>
  <c r="H185" i="1" s="1"/>
  <c r="F174" i="1"/>
  <c r="H174" i="1" s="1"/>
  <c r="F160" i="1"/>
  <c r="H160" i="1" s="1"/>
  <c r="F146" i="1"/>
  <c r="H146" i="1" s="1"/>
  <c r="F135" i="1"/>
  <c r="H135" i="1" s="1"/>
  <c r="F121" i="1"/>
  <c r="H121" i="1" s="1"/>
  <c r="F110" i="1"/>
  <c r="H110" i="1" s="1"/>
  <c r="F96" i="1"/>
  <c r="H96" i="1" s="1"/>
  <c r="F82" i="1"/>
  <c r="H82" i="1" s="1"/>
  <c r="F71" i="1"/>
  <c r="H71" i="1" s="1"/>
  <c r="F57" i="1"/>
  <c r="H57" i="1" s="1"/>
  <c r="F46" i="1"/>
  <c r="H46" i="1" s="1"/>
  <c r="F32" i="1"/>
  <c r="H32" i="1" s="1"/>
  <c r="F18" i="1"/>
  <c r="H18" i="1" s="1"/>
  <c r="F7" i="1"/>
  <c r="H7" i="1" s="1"/>
  <c r="F365" i="1"/>
  <c r="H365" i="1" s="1"/>
  <c r="F357" i="1"/>
  <c r="H357" i="1" s="1"/>
  <c r="F349" i="1"/>
  <c r="H349" i="1" s="1"/>
  <c r="F341" i="1"/>
  <c r="H341" i="1" s="1"/>
  <c r="F333" i="1"/>
  <c r="H333" i="1" s="1"/>
  <c r="F325" i="1"/>
  <c r="H325" i="1" s="1"/>
  <c r="F317" i="1"/>
  <c r="H317" i="1" s="1"/>
  <c r="F309" i="1"/>
  <c r="H309" i="1" s="1"/>
  <c r="F301" i="1"/>
  <c r="H301" i="1" s="1"/>
  <c r="F293" i="1"/>
  <c r="H293" i="1" s="1"/>
  <c r="F285" i="1"/>
  <c r="H285" i="1" s="1"/>
  <c r="F277" i="1"/>
  <c r="H277" i="1" s="1"/>
  <c r="F269" i="1"/>
  <c r="H269" i="1" s="1"/>
  <c r="F261" i="1"/>
  <c r="H261" i="1" s="1"/>
  <c r="F253" i="1"/>
  <c r="H253" i="1" s="1"/>
  <c r="F245" i="1"/>
  <c r="H245" i="1" s="1"/>
  <c r="F237" i="1"/>
  <c r="H237" i="1" s="1"/>
  <c r="F229" i="1"/>
  <c r="H229" i="1" s="1"/>
  <c r="F221" i="1"/>
  <c r="H221" i="1" s="1"/>
  <c r="F213" i="1"/>
  <c r="H213" i="1" s="1"/>
  <c r="F205" i="1"/>
  <c r="H205" i="1" s="1"/>
  <c r="F197" i="1"/>
  <c r="H197" i="1" s="1"/>
  <c r="F189" i="1"/>
  <c r="H189" i="1" s="1"/>
  <c r="F181" i="1"/>
  <c r="H181" i="1" s="1"/>
  <c r="F173" i="1"/>
  <c r="H173" i="1" s="1"/>
  <c r="F165" i="1"/>
  <c r="H165" i="1" s="1"/>
  <c r="F157" i="1"/>
  <c r="H157" i="1" s="1"/>
  <c r="F149" i="1"/>
  <c r="H149" i="1" s="1"/>
  <c r="F141" i="1"/>
  <c r="H141" i="1" s="1"/>
  <c r="F133" i="1"/>
  <c r="H133" i="1" s="1"/>
  <c r="F125" i="1"/>
  <c r="H125" i="1" s="1"/>
  <c r="F117" i="1"/>
  <c r="H117" i="1" s="1"/>
  <c r="F109" i="1"/>
  <c r="H109" i="1" s="1"/>
  <c r="F101" i="1"/>
  <c r="H101" i="1" s="1"/>
  <c r="F93" i="1"/>
  <c r="H93" i="1" s="1"/>
  <c r="F85" i="1"/>
  <c r="H85" i="1" s="1"/>
  <c r="F77" i="1"/>
  <c r="H77" i="1" s="1"/>
  <c r="F69" i="1"/>
  <c r="H69" i="1" s="1"/>
  <c r="F61" i="1"/>
  <c r="H61" i="1" s="1"/>
  <c r="F53" i="1"/>
  <c r="H53" i="1" s="1"/>
  <c r="F45" i="1"/>
  <c r="H45" i="1" s="1"/>
  <c r="F37" i="1"/>
  <c r="H37" i="1" s="1"/>
  <c r="F29" i="1"/>
  <c r="H29" i="1" s="1"/>
  <c r="F21" i="1"/>
  <c r="H21" i="1" s="1"/>
  <c r="F13" i="1"/>
  <c r="H13" i="1" s="1"/>
  <c r="F5" i="1"/>
  <c r="H5" i="1" s="1"/>
  <c r="F364" i="1"/>
  <c r="H364" i="1" s="1"/>
  <c r="F356" i="1"/>
  <c r="H356" i="1" s="1"/>
  <c r="F348" i="1"/>
  <c r="H348" i="1" s="1"/>
  <c r="F340" i="1"/>
  <c r="H340" i="1" s="1"/>
  <c r="F332" i="1"/>
  <c r="H332" i="1" s="1"/>
  <c r="F324" i="1"/>
  <c r="H324" i="1" s="1"/>
  <c r="F316" i="1"/>
  <c r="H316" i="1" s="1"/>
  <c r="F308" i="1"/>
  <c r="H308" i="1" s="1"/>
  <c r="F300" i="1"/>
  <c r="H300" i="1" s="1"/>
  <c r="F292" i="1"/>
  <c r="H292" i="1" s="1"/>
  <c r="F284" i="1"/>
  <c r="H284" i="1" s="1"/>
  <c r="F276" i="1"/>
  <c r="H276" i="1" s="1"/>
  <c r="F268" i="1"/>
  <c r="H268" i="1" s="1"/>
  <c r="F260" i="1"/>
  <c r="H260" i="1" s="1"/>
  <c r="F252" i="1"/>
  <c r="H252" i="1" s="1"/>
  <c r="F244" i="1"/>
  <c r="H244" i="1" s="1"/>
  <c r="F236" i="1"/>
  <c r="H236" i="1" s="1"/>
  <c r="F228" i="1"/>
  <c r="H228" i="1" s="1"/>
  <c r="F220" i="1"/>
  <c r="H220" i="1" s="1"/>
  <c r="F212" i="1"/>
  <c r="H212" i="1" s="1"/>
  <c r="F204" i="1"/>
  <c r="H204" i="1" s="1"/>
  <c r="F196" i="1"/>
  <c r="H196" i="1" s="1"/>
  <c r="F188" i="1"/>
  <c r="H188" i="1" s="1"/>
  <c r="F180" i="1"/>
  <c r="H180" i="1" s="1"/>
  <c r="F172" i="1"/>
  <c r="H172" i="1" s="1"/>
  <c r="F164" i="1"/>
  <c r="H164" i="1" s="1"/>
  <c r="F156" i="1"/>
  <c r="H156" i="1" s="1"/>
  <c r="F148" i="1"/>
  <c r="H148" i="1" s="1"/>
  <c r="F140" i="1"/>
  <c r="H140" i="1" s="1"/>
  <c r="F132" i="1"/>
  <c r="H132" i="1" s="1"/>
  <c r="F124" i="1"/>
  <c r="H124" i="1" s="1"/>
  <c r="F116" i="1"/>
  <c r="H116" i="1" s="1"/>
  <c r="F108" i="1"/>
  <c r="H108" i="1" s="1"/>
  <c r="F100" i="1"/>
  <c r="H100" i="1" s="1"/>
  <c r="F92" i="1"/>
  <c r="H92" i="1" s="1"/>
  <c r="F84" i="1"/>
  <c r="H84" i="1" s="1"/>
  <c r="F76" i="1"/>
  <c r="H76" i="1" s="1"/>
  <c r="F68" i="1"/>
  <c r="H68" i="1" s="1"/>
  <c r="F60" i="1"/>
  <c r="H60" i="1" s="1"/>
  <c r="F52" i="1"/>
  <c r="H52" i="1" s="1"/>
  <c r="F44" i="1"/>
  <c r="H44" i="1" s="1"/>
  <c r="F36" i="1"/>
  <c r="H36" i="1" s="1"/>
  <c r="F28" i="1"/>
  <c r="H28" i="1" s="1"/>
  <c r="F20" i="1"/>
  <c r="H20" i="1" s="1"/>
  <c r="F12" i="1"/>
  <c r="H12" i="1" s="1"/>
  <c r="F4" i="1"/>
  <c r="H4" i="1" s="1"/>
  <c r="F6" i="1"/>
  <c r="H6" i="1" s="1"/>
  <c r="F363" i="1"/>
  <c r="H363" i="1" s="1"/>
  <c r="F355" i="1"/>
  <c r="H355" i="1" s="1"/>
  <c r="F347" i="1"/>
  <c r="H347" i="1" s="1"/>
  <c r="F339" i="1"/>
  <c r="H339" i="1" s="1"/>
  <c r="F331" i="1"/>
  <c r="H331" i="1" s="1"/>
  <c r="F323" i="1"/>
  <c r="H323" i="1" s="1"/>
  <c r="F315" i="1"/>
  <c r="H315" i="1" s="1"/>
  <c r="F307" i="1"/>
  <c r="H307" i="1" s="1"/>
  <c r="F299" i="1"/>
  <c r="H299" i="1" s="1"/>
  <c r="F291" i="1"/>
  <c r="H291" i="1" s="1"/>
  <c r="F283" i="1"/>
  <c r="H283" i="1" s="1"/>
  <c r="F275" i="1"/>
  <c r="H275" i="1" s="1"/>
  <c r="F267" i="1"/>
  <c r="H267" i="1" s="1"/>
  <c r="F259" i="1"/>
  <c r="H259" i="1" s="1"/>
  <c r="F251" i="1"/>
  <c r="H251" i="1" s="1"/>
  <c r="F243" i="1"/>
  <c r="H243" i="1" s="1"/>
  <c r="F235" i="1"/>
  <c r="H235" i="1" s="1"/>
  <c r="F227" i="1"/>
  <c r="H227" i="1" s="1"/>
  <c r="F219" i="1"/>
  <c r="H219" i="1" s="1"/>
  <c r="F211" i="1"/>
  <c r="H211" i="1" s="1"/>
  <c r="F203" i="1"/>
  <c r="H203" i="1" s="1"/>
  <c r="F195" i="1"/>
  <c r="H195" i="1" s="1"/>
  <c r="F187" i="1"/>
  <c r="H187" i="1" s="1"/>
  <c r="F179" i="1"/>
  <c r="H179" i="1" s="1"/>
  <c r="F171" i="1"/>
  <c r="H171" i="1" s="1"/>
  <c r="F163" i="1"/>
  <c r="H163" i="1" s="1"/>
  <c r="F155" i="1"/>
  <c r="H155" i="1" s="1"/>
  <c r="F147" i="1"/>
  <c r="H147" i="1" s="1"/>
  <c r="F139" i="1"/>
  <c r="H139" i="1" s="1"/>
  <c r="F131" i="1"/>
  <c r="H131" i="1" s="1"/>
  <c r="F123" i="1"/>
  <c r="H123" i="1" s="1"/>
  <c r="F115" i="1"/>
  <c r="H115" i="1" s="1"/>
  <c r="F107" i="1"/>
  <c r="H107" i="1" s="1"/>
  <c r="F99" i="1"/>
  <c r="H99" i="1" s="1"/>
  <c r="F91" i="1"/>
  <c r="H91" i="1" s="1"/>
  <c r="F83" i="1"/>
  <c r="H83" i="1" s="1"/>
  <c r="F75" i="1"/>
  <c r="H75" i="1" s="1"/>
  <c r="F67" i="1"/>
  <c r="H67" i="1" s="1"/>
  <c r="F59" i="1"/>
  <c r="H59" i="1" s="1"/>
  <c r="F51" i="1"/>
  <c r="H51" i="1" s="1"/>
  <c r="F43" i="1"/>
  <c r="H43" i="1" s="1"/>
  <c r="F35" i="1"/>
  <c r="H35" i="1" s="1"/>
  <c r="F27" i="1"/>
  <c r="H27" i="1" s="1"/>
  <c r="F19" i="1"/>
  <c r="H19" i="1" s="1"/>
  <c r="F11" i="1"/>
  <c r="H11" i="1" s="1"/>
  <c r="F3" i="1"/>
  <c r="H3" i="1" s="1"/>
  <c r="F2" i="1"/>
  <c r="H2" i="1" s="1"/>
</calcChain>
</file>

<file path=xl/sharedStrings.xml><?xml version="1.0" encoding="utf-8"?>
<sst xmlns="http://schemas.openxmlformats.org/spreadsheetml/2006/main" count="23" uniqueCount="18">
  <si>
    <t>Date</t>
  </si>
  <si>
    <t>Order ID</t>
  </si>
  <si>
    <t>Product Category</t>
  </si>
  <si>
    <t>Product Name</t>
  </si>
  <si>
    <t>Region</t>
  </si>
  <si>
    <t>Sales Amount</t>
  </si>
  <si>
    <t>Quantity Sold</t>
  </si>
  <si>
    <t>East</t>
  </si>
  <si>
    <t>Unit Price</t>
  </si>
  <si>
    <t>Row Labels</t>
  </si>
  <si>
    <t>Grand Total</t>
  </si>
  <si>
    <t>Sum of Sales Amount</t>
  </si>
  <si>
    <t>Bicycle</t>
  </si>
  <si>
    <t>Tablet</t>
  </si>
  <si>
    <t>Bookshelf</t>
  </si>
  <si>
    <t>Rice Bag</t>
  </si>
  <si>
    <t>Pen</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</si>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</sst>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0" fontId="0" fillId="0" borderId="0" xfId="0" pivotButton="1"/>
    <xf numFmtId="15" fontId="0" fillId="0" borderId="0" xfId="0" applyNumberForma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P1.xlsx]Sheet2!PivotTable1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Sheet2!$A$2:$A$6</c:f>
              <c:strCache>
                <c:ptCount val="4"/>
                <c:pt idx="0">
                  <c:v>01-Jan-25</c:v>
                </c:pt>
                <c:pt idx="1">
                  <c:v>02-Jan-25</c:v>
                </c:pt>
                <c:pt idx="2">
                  <c:v>03-Jan-25</c:v>
                </c:pt>
                <c:pt idx="3">
                  <c:v>04-Jan-25</c:v>
                </c:pt>
              </c:strCache>
            </c:strRef>
          </c:cat>
          <c:val>
            <c:numRef>
              <c:f>Sheet2!$B$2:$B$6</c:f>
              <c:numCache>
                <c:formatCode>General</c:formatCode>
                <c:ptCount val="4"/>
                <c:pt idx="0">
                  <c:v>540765</c:v>
                </c:pt>
                <c:pt idx="1">
                  <c:v>1511330</c:v>
                </c:pt>
                <c:pt idx="2">
                  <c:v>195144</c:v>
                </c:pt>
                <c:pt idx="3">
                  <c:v>190021</c:v>
                </c:pt>
              </c:numCache>
            </c:numRef>
          </c:val>
          <c:smooth val="0"/>
          <c:extLst>
            <c:ext xmlns:c16="http://schemas.microsoft.com/office/drawing/2014/chart" uri="{C3380CC4-5D6E-409C-BE32-E72D297353CC}">
              <c16:uniqueId val="{00000000-2FAB-4961-B444-8C175939D4FC}"/>
            </c:ext>
          </c:extLst>
        </c:ser>
        <c:dLbls>
          <c:showLegendKey val="0"/>
          <c:showVal val="0"/>
          <c:showCatName val="0"/>
          <c:showSerName val="0"/>
          <c:showPercent val="0"/>
          <c:showBubbleSize val="0"/>
        </c:dLbls>
        <c:smooth val="0"/>
        <c:axId val="69542191"/>
        <c:axId val="69543631"/>
      </c:lineChart>
      <c:catAx>
        <c:axId val="695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3631"/>
        <c:crosses val="autoZero"/>
        <c:auto val="1"/>
        <c:lblAlgn val="ctr"/>
        <c:lblOffset val="100"/>
        <c:noMultiLvlLbl val="0"/>
      </c:catAx>
      <c:valAx>
        <c:axId val="6954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P1.xlsx]Sheet2!PivotTable2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c:f>
              <c:strCache>
                <c:ptCount val="1"/>
                <c:pt idx="0">
                  <c:v>Total</c:v>
                </c:pt>
              </c:strCache>
            </c:strRef>
          </c:tx>
          <c:spPr>
            <a:solidFill>
              <a:schemeClr val="accent1"/>
            </a:solidFill>
            <a:ln>
              <a:noFill/>
            </a:ln>
            <a:effectLst/>
          </c:spPr>
          <c:invertIfNegative val="0"/>
          <c:cat>
            <c:strRef>
              <c:f>Sheet2!$D$2:$D$3</c:f>
              <c:strCache>
                <c:ptCount val="1"/>
                <c:pt idx="0">
                  <c:v>East</c:v>
                </c:pt>
              </c:strCache>
            </c:strRef>
          </c:cat>
          <c:val>
            <c:numRef>
              <c:f>Sheet2!$E$2:$E$3</c:f>
              <c:numCache>
                <c:formatCode>General</c:formatCode>
                <c:ptCount val="1"/>
                <c:pt idx="0">
                  <c:v>101920</c:v>
                </c:pt>
              </c:numCache>
            </c:numRef>
          </c:val>
          <c:extLst>
            <c:ext xmlns:c16="http://schemas.microsoft.com/office/drawing/2014/chart" uri="{C3380CC4-5D6E-409C-BE32-E72D297353CC}">
              <c16:uniqueId val="{00000000-CBAB-4010-965D-39B5B17F8219}"/>
            </c:ext>
          </c:extLst>
        </c:ser>
        <c:dLbls>
          <c:showLegendKey val="0"/>
          <c:showVal val="0"/>
          <c:showCatName val="0"/>
          <c:showSerName val="0"/>
          <c:showPercent val="0"/>
          <c:showBubbleSize val="0"/>
        </c:dLbls>
        <c:gapWidth val="219"/>
        <c:overlap val="-27"/>
        <c:axId val="4156847"/>
        <c:axId val="4157327"/>
      </c:barChart>
      <c:catAx>
        <c:axId val="41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327"/>
        <c:crosses val="autoZero"/>
        <c:auto val="1"/>
        <c:lblAlgn val="ctr"/>
        <c:lblOffset val="100"/>
        <c:noMultiLvlLbl val="0"/>
      </c:catAx>
      <c:valAx>
        <c:axId val="415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P1.xlsx]Sheet2!PivotTable3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30-4220-9189-3EAF068B53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30-4220-9189-3EAF068B53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30-4220-9189-3EAF068B532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30-4220-9189-3EAF068B532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030-4220-9189-3EAF068B532B}"/>
              </c:ext>
            </c:extLst>
          </c:dPt>
          <c:cat>
            <c:strRef>
              <c:f>Sheet2!$G$2:$G$7</c:f>
              <c:strCache>
                <c:ptCount val="5"/>
                <c:pt idx="0">
                  <c:v>Bookshelf</c:v>
                </c:pt>
                <c:pt idx="1">
                  <c:v>Bicycle</c:v>
                </c:pt>
                <c:pt idx="2">
                  <c:v>Rice Bag</c:v>
                </c:pt>
                <c:pt idx="3">
                  <c:v>Tablet</c:v>
                </c:pt>
                <c:pt idx="4">
                  <c:v>Pen</c:v>
                </c:pt>
              </c:strCache>
            </c:strRef>
          </c:cat>
          <c:val>
            <c:numRef>
              <c:f>Sheet2!$H$2:$H$7</c:f>
              <c:numCache>
                <c:formatCode>General</c:formatCode>
                <c:ptCount val="5"/>
                <c:pt idx="0">
                  <c:v>274</c:v>
                </c:pt>
                <c:pt idx="1">
                  <c:v>271</c:v>
                </c:pt>
                <c:pt idx="2">
                  <c:v>262</c:v>
                </c:pt>
                <c:pt idx="3">
                  <c:v>252</c:v>
                </c:pt>
                <c:pt idx="4">
                  <c:v>242</c:v>
                </c:pt>
              </c:numCache>
            </c:numRef>
          </c:val>
          <c:extLst>
            <c:ext xmlns:c16="http://schemas.microsoft.com/office/drawing/2014/chart" uri="{C3380CC4-5D6E-409C-BE32-E72D297353CC}">
              <c16:uniqueId val="{00000000-CB69-4BBE-8F3A-067AC61FEDD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P1.xlsx]Sheet2!PivotTable1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Sheet2!$A$2:$A$6</c:f>
              <c:strCache>
                <c:ptCount val="4"/>
                <c:pt idx="0">
                  <c:v>01-Jan-25</c:v>
                </c:pt>
                <c:pt idx="1">
                  <c:v>02-Jan-25</c:v>
                </c:pt>
                <c:pt idx="2">
                  <c:v>03-Jan-25</c:v>
                </c:pt>
                <c:pt idx="3">
                  <c:v>04-Jan-25</c:v>
                </c:pt>
              </c:strCache>
            </c:strRef>
          </c:cat>
          <c:val>
            <c:numRef>
              <c:f>Sheet2!$B$2:$B$6</c:f>
              <c:numCache>
                <c:formatCode>General</c:formatCode>
                <c:ptCount val="4"/>
                <c:pt idx="0">
                  <c:v>540765</c:v>
                </c:pt>
                <c:pt idx="1">
                  <c:v>1511330</c:v>
                </c:pt>
                <c:pt idx="2">
                  <c:v>195144</c:v>
                </c:pt>
                <c:pt idx="3">
                  <c:v>190021</c:v>
                </c:pt>
              </c:numCache>
            </c:numRef>
          </c:val>
          <c:smooth val="0"/>
          <c:extLst>
            <c:ext xmlns:c16="http://schemas.microsoft.com/office/drawing/2014/chart" uri="{C3380CC4-5D6E-409C-BE32-E72D297353CC}">
              <c16:uniqueId val="{00000000-0125-4CA9-8E99-38D81B948F8E}"/>
            </c:ext>
          </c:extLst>
        </c:ser>
        <c:dLbls>
          <c:dLblPos val="t"/>
          <c:showLegendKey val="0"/>
          <c:showVal val="1"/>
          <c:showCatName val="0"/>
          <c:showSerName val="0"/>
          <c:showPercent val="0"/>
          <c:showBubbleSize val="0"/>
        </c:dLbls>
        <c:smooth val="0"/>
        <c:axId val="69542191"/>
        <c:axId val="69543631"/>
      </c:lineChart>
      <c:catAx>
        <c:axId val="6954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3631"/>
        <c:crosses val="autoZero"/>
        <c:auto val="1"/>
        <c:lblAlgn val="ctr"/>
        <c:lblOffset val="100"/>
        <c:noMultiLvlLbl val="0"/>
      </c:catAx>
      <c:valAx>
        <c:axId val="6954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P1.xlsx]Sheet2!PivotTable2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Sheet2!$D$2:$D$3</c:f>
              <c:strCache>
                <c:ptCount val="1"/>
                <c:pt idx="0">
                  <c:v>East</c:v>
                </c:pt>
              </c:strCache>
            </c:strRef>
          </c:cat>
          <c:val>
            <c:numRef>
              <c:f>Sheet2!$E$2:$E$3</c:f>
              <c:numCache>
                <c:formatCode>General</c:formatCode>
                <c:ptCount val="1"/>
                <c:pt idx="0">
                  <c:v>101920</c:v>
                </c:pt>
              </c:numCache>
            </c:numRef>
          </c:val>
          <c:extLst>
            <c:ext xmlns:c16="http://schemas.microsoft.com/office/drawing/2014/chart" uri="{C3380CC4-5D6E-409C-BE32-E72D297353CC}">
              <c16:uniqueId val="{00000000-FFBE-4242-84AF-DB2B24708262}"/>
            </c:ext>
          </c:extLst>
        </c:ser>
        <c:dLbls>
          <c:dLblPos val="outEnd"/>
          <c:showLegendKey val="0"/>
          <c:showVal val="1"/>
          <c:showCatName val="0"/>
          <c:showSerName val="0"/>
          <c:showPercent val="0"/>
          <c:showBubbleSize val="0"/>
        </c:dLbls>
        <c:gapWidth val="219"/>
        <c:overlap val="-27"/>
        <c:axId val="4156847"/>
        <c:axId val="4157327"/>
      </c:barChart>
      <c:catAx>
        <c:axId val="415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327"/>
        <c:crosses val="autoZero"/>
        <c:auto val="1"/>
        <c:lblAlgn val="ctr"/>
        <c:lblOffset val="100"/>
        <c:noMultiLvlLbl val="0"/>
      </c:catAx>
      <c:valAx>
        <c:axId val="4157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 P1.xlsx]Sheet2!PivotTable3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4A-4B6D-91FF-C8B8FF3DE2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4A-4B6D-91FF-C8B8FF3DE2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E4A-4B6D-91FF-C8B8FF3DE2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E4A-4B6D-91FF-C8B8FF3DE24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E4A-4B6D-91FF-C8B8FF3DE24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E4A-4B6D-91FF-C8B8FF3DE24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E4A-4B6D-91FF-C8B8FF3DE24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E4A-4B6D-91FF-C8B8FF3DE24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E4A-4B6D-91FF-C8B8FF3DE24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E4A-4B6D-91FF-C8B8FF3DE246}"/>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E4A-4B6D-91FF-C8B8FF3DE246}"/>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E4A-4B6D-91FF-C8B8FF3DE246}"/>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E4A-4B6D-91FF-C8B8FF3DE246}"/>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E4A-4B6D-91FF-C8B8FF3DE246}"/>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E4A-4B6D-91FF-C8B8FF3DE246}"/>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E4A-4B6D-91FF-C8B8FF3DE246}"/>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E4A-4B6D-91FF-C8B8FF3DE246}"/>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2E4A-4B6D-91FF-C8B8FF3DE246}"/>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2E4A-4B6D-91FF-C8B8FF3DE246}"/>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2E4A-4B6D-91FF-C8B8FF3DE246}"/>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2E4A-4B6D-91FF-C8B8FF3DE246}"/>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2E4A-4B6D-91FF-C8B8FF3DE246}"/>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2E4A-4B6D-91FF-C8B8FF3DE246}"/>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2E4A-4B6D-91FF-C8B8FF3DE246}"/>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2E4A-4B6D-91FF-C8B8FF3DE246}"/>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2E4A-4B6D-91FF-C8B8FF3DE246}"/>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2E4A-4B6D-91FF-C8B8FF3DE246}"/>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2E4A-4B6D-91FF-C8B8FF3DE246}"/>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2E4A-4B6D-91FF-C8B8FF3DE246}"/>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2E4A-4B6D-91FF-C8B8FF3DE246}"/>
              </c:ext>
            </c:extLst>
          </c:dPt>
          <c:cat>
            <c:strRef>
              <c:f>Sheet2!$G$2:$G$7</c:f>
              <c:strCache>
                <c:ptCount val="5"/>
                <c:pt idx="0">
                  <c:v>Bookshelf</c:v>
                </c:pt>
                <c:pt idx="1">
                  <c:v>Bicycle</c:v>
                </c:pt>
                <c:pt idx="2">
                  <c:v>Rice Bag</c:v>
                </c:pt>
                <c:pt idx="3">
                  <c:v>Tablet</c:v>
                </c:pt>
                <c:pt idx="4">
                  <c:v>Pen</c:v>
                </c:pt>
              </c:strCache>
            </c:strRef>
          </c:cat>
          <c:val>
            <c:numRef>
              <c:f>Sheet2!$H$2:$H$7</c:f>
              <c:numCache>
                <c:formatCode>General</c:formatCode>
                <c:ptCount val="5"/>
                <c:pt idx="0">
                  <c:v>274</c:v>
                </c:pt>
                <c:pt idx="1">
                  <c:v>271</c:v>
                </c:pt>
                <c:pt idx="2">
                  <c:v>262</c:v>
                </c:pt>
                <c:pt idx="3">
                  <c:v>252</c:v>
                </c:pt>
                <c:pt idx="4">
                  <c:v>242</c:v>
                </c:pt>
              </c:numCache>
            </c:numRef>
          </c:val>
          <c:extLst>
            <c:ext xmlns:c16="http://schemas.microsoft.com/office/drawing/2014/chart" uri="{C3380CC4-5D6E-409C-BE32-E72D297353CC}">
              <c16:uniqueId val="{0000003C-2E4A-4B6D-91FF-C8B8FF3DE24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693420</xdr:colOff>
      <xdr:row>32</xdr:row>
      <xdr:rowOff>140970</xdr:rowOff>
    </xdr:from>
    <xdr:to>
      <xdr:col>11</xdr:col>
      <xdr:colOff>0</xdr:colOff>
      <xdr:row>47</xdr:row>
      <xdr:rowOff>140970</xdr:rowOff>
    </xdr:to>
    <xdr:graphicFrame macro="">
      <xdr:nvGraphicFramePr>
        <xdr:cNvPr id="3" name="Monthly Sales Trend">
          <a:extLst>
            <a:ext uri="{FF2B5EF4-FFF2-40B4-BE49-F238E27FC236}">
              <a16:creationId xmlns:a16="http://schemas.microsoft.com/office/drawing/2014/main" id="{4E66BCA8-C80B-5BF3-AC3F-F81F82E3E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48</xdr:row>
      <xdr:rowOff>64770</xdr:rowOff>
    </xdr:from>
    <xdr:to>
      <xdr:col>11</xdr:col>
      <xdr:colOff>7620</xdr:colOff>
      <xdr:row>63</xdr:row>
      <xdr:rowOff>64770</xdr:rowOff>
    </xdr:to>
    <xdr:graphicFrame macro="">
      <xdr:nvGraphicFramePr>
        <xdr:cNvPr id="4" name="Chart 3">
          <a:extLst>
            <a:ext uri="{FF2B5EF4-FFF2-40B4-BE49-F238E27FC236}">
              <a16:creationId xmlns:a16="http://schemas.microsoft.com/office/drawing/2014/main" id="{FD779E0F-2EB6-E8E1-8A8B-55C34070C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685800</xdr:colOff>
      <xdr:row>63</xdr:row>
      <xdr:rowOff>171450</xdr:rowOff>
    </xdr:from>
    <xdr:to>
      <xdr:col>9</xdr:col>
      <xdr:colOff>15240</xdr:colOff>
      <xdr:row>78</xdr:row>
      <xdr:rowOff>171450</xdr:rowOff>
    </xdr:to>
    <xdr:graphicFrame macro="">
      <xdr:nvGraphicFramePr>
        <xdr:cNvPr id="5" name="Chart 4">
          <a:extLst>
            <a:ext uri="{FF2B5EF4-FFF2-40B4-BE49-F238E27FC236}">
              <a16:creationId xmlns:a16="http://schemas.microsoft.com/office/drawing/2014/main" id="{CBDE36F4-592A-ED00-03B2-1167F16C3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312420</xdr:colOff>
      <xdr:row>16</xdr:row>
      <xdr:rowOff>15240</xdr:rowOff>
    </xdr:from>
    <xdr:to>
      <xdr:col>11</xdr:col>
      <xdr:colOff>312420</xdr:colOff>
      <xdr:row>29</xdr:row>
      <xdr:rowOff>104775</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F2AFA258-8451-DDC3-D7C5-CCE17C5E092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427720" y="2941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1</xdr:row>
      <xdr:rowOff>7620</xdr:rowOff>
    </xdr:from>
    <xdr:to>
      <xdr:col>15</xdr:col>
      <xdr:colOff>7620</xdr:colOff>
      <xdr:row>14</xdr:row>
      <xdr:rowOff>97155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D0509F2-26F1-D7B2-9400-1FD5FE0EC2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6132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312420</xdr:colOff>
      <xdr:row>1</xdr:row>
      <xdr:rowOff>0</xdr:rowOff>
    </xdr:from>
    <xdr:to>
      <xdr:col>11</xdr:col>
      <xdr:colOff>312420</xdr:colOff>
      <xdr:row>14</xdr:row>
      <xdr:rowOff>89535</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72DFF680-4DB0-C30E-28E0-E61C8423721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42772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xdr:colOff>
      <xdr:row>3</xdr:row>
      <xdr:rowOff>137160</xdr:rowOff>
    </xdr:from>
    <xdr:to>
      <xdr:col>4</xdr:col>
      <xdr:colOff>22860</xdr:colOff>
      <xdr:row>17</xdr:row>
      <xdr:rowOff>38100</xdr:rowOff>
    </xdr:to>
    <mc:AlternateContent xmlns:mc="http://schemas.openxmlformats.org/markup-compatibility/2006" xmlns:a14="http://schemas.microsoft.com/office/drawing/2010/main">
      <mc:Choice Requires="a14">
        <xdr:graphicFrame macro="">
          <xdr:nvGraphicFramePr>
            <xdr:cNvPr id="2" name="Months (Date) 1">
              <a:extLst>
                <a:ext uri="{FF2B5EF4-FFF2-40B4-BE49-F238E27FC236}">
                  <a16:creationId xmlns:a16="http://schemas.microsoft.com/office/drawing/2014/main" id="{EAB5CCCE-6643-4FAC-93BF-DFE9B184830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30480" y="685800"/>
              <a:ext cx="2247900" cy="2461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76200</xdr:rowOff>
    </xdr:from>
    <xdr:to>
      <xdr:col>23</xdr:col>
      <xdr:colOff>327660</xdr:colOff>
      <xdr:row>3</xdr:row>
      <xdr:rowOff>68580</xdr:rowOff>
    </xdr:to>
    <xdr:sp macro="" textlink="">
      <xdr:nvSpPr>
        <xdr:cNvPr id="3" name="Rectangle 2">
          <a:extLst>
            <a:ext uri="{FF2B5EF4-FFF2-40B4-BE49-F238E27FC236}">
              <a16:creationId xmlns:a16="http://schemas.microsoft.com/office/drawing/2014/main" id="{58D4FA17-4C91-7E9A-D6F2-1CFF9C5F7CE1}"/>
            </a:ext>
          </a:extLst>
        </xdr:cNvPr>
        <xdr:cNvSpPr/>
      </xdr:nvSpPr>
      <xdr:spPr>
        <a:xfrm>
          <a:off x="0" y="76200"/>
          <a:ext cx="14348460" cy="5410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accent1">
                  <a:lumMod val="50000"/>
                </a:schemeClr>
              </a:solidFill>
            </a:rPr>
            <a:t>Sales Dashboard - Interactive Analysis</a:t>
          </a:r>
        </a:p>
      </xdr:txBody>
    </xdr:sp>
    <xdr:clientData/>
  </xdr:twoCellAnchor>
  <xdr:twoCellAnchor editAs="oneCell">
    <xdr:from>
      <xdr:col>4</xdr:col>
      <xdr:colOff>167640</xdr:colOff>
      <xdr:row>3</xdr:row>
      <xdr:rowOff>137160</xdr:rowOff>
    </xdr:from>
    <xdr:to>
      <xdr:col>8</xdr:col>
      <xdr:colOff>365760</xdr:colOff>
      <xdr:row>17</xdr:row>
      <xdr:rowOff>53339</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76F57C93-1D45-4841-B172-D707A92FF78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06040" y="685800"/>
              <a:ext cx="2636520" cy="247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17</xdr:row>
      <xdr:rowOff>106680</xdr:rowOff>
    </xdr:from>
    <xdr:to>
      <xdr:col>4</xdr:col>
      <xdr:colOff>15240</xdr:colOff>
      <xdr:row>31</xdr:row>
      <xdr:rowOff>13335</xdr:rowOff>
    </xdr:to>
    <mc:AlternateContent xmlns:mc="http://schemas.openxmlformats.org/markup-compatibility/2006" xmlns:a14="http://schemas.microsoft.com/office/drawing/2010/main">
      <mc:Choice Requires="a14">
        <xdr:graphicFrame macro="">
          <xdr:nvGraphicFramePr>
            <xdr:cNvPr id="5" name="Product Category 1">
              <a:extLst>
                <a:ext uri="{FF2B5EF4-FFF2-40B4-BE49-F238E27FC236}">
                  <a16:creationId xmlns:a16="http://schemas.microsoft.com/office/drawing/2014/main" id="{565B57F9-949E-4E2C-AB41-B6CFD4DBF58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2860" y="3215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464820</xdr:colOff>
      <xdr:row>3</xdr:row>
      <xdr:rowOff>137160</xdr:rowOff>
    </xdr:from>
    <xdr:to>
      <xdr:col>15</xdr:col>
      <xdr:colOff>480060</xdr:colOff>
      <xdr:row>17</xdr:row>
      <xdr:rowOff>45720</xdr:rowOff>
    </xdr:to>
    <xdr:graphicFrame macro="">
      <xdr:nvGraphicFramePr>
        <xdr:cNvPr id="6" name="Monthly Sales Trend">
          <a:extLst>
            <a:ext uri="{FF2B5EF4-FFF2-40B4-BE49-F238E27FC236}">
              <a16:creationId xmlns:a16="http://schemas.microsoft.com/office/drawing/2014/main" id="{EB989B7D-8A4B-41C9-843A-F0EBB1F81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xdr:colOff>
      <xdr:row>3</xdr:row>
      <xdr:rowOff>137160</xdr:rowOff>
    </xdr:from>
    <xdr:to>
      <xdr:col>23</xdr:col>
      <xdr:colOff>320040</xdr:colOff>
      <xdr:row>17</xdr:row>
      <xdr:rowOff>45720</xdr:rowOff>
    </xdr:to>
    <xdr:graphicFrame macro="">
      <xdr:nvGraphicFramePr>
        <xdr:cNvPr id="7" name="Chart 6">
          <a:extLst>
            <a:ext uri="{FF2B5EF4-FFF2-40B4-BE49-F238E27FC236}">
              <a16:creationId xmlns:a16="http://schemas.microsoft.com/office/drawing/2014/main" id="{C2B7956E-8BB7-41DF-81AE-E031F2E92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464820</xdr:colOff>
      <xdr:row>17</xdr:row>
      <xdr:rowOff>114300</xdr:rowOff>
    </xdr:from>
    <xdr:to>
      <xdr:col>15</xdr:col>
      <xdr:colOff>487680</xdr:colOff>
      <xdr:row>30</xdr:row>
      <xdr:rowOff>167640</xdr:rowOff>
    </xdr:to>
    <xdr:graphicFrame macro="">
      <xdr:nvGraphicFramePr>
        <xdr:cNvPr id="8" name="Chart 7">
          <a:extLst>
            <a:ext uri="{FF2B5EF4-FFF2-40B4-BE49-F238E27FC236}">
              <a16:creationId xmlns:a16="http://schemas.microsoft.com/office/drawing/2014/main" id="{6E7CC219-C6F9-4CBD-8E5E-D6B3EF845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pti Chauhan" refreshedDate="46118.58436296296" createdVersion="8" refreshedVersion="8" minRefreshableVersion="3" recordCount="365" xr:uid="{99F64EE0-23F9-4B54-ABFE-98D3936F489D}">
  <cacheSource type="worksheet">
    <worksheetSource ref="A1:H366" sheet="Sheet1"/>
  </cacheSource>
  <cacheFields count="10">
    <cacheField name="Date" numFmtId="15">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9"/>
    </cacheField>
    <cacheField name="Order ID" numFmtId="0">
      <sharedItems/>
    </cacheField>
    <cacheField name="Product Category" numFmtId="0">
      <sharedItems count="6">
        <s v="Electronics"/>
        <s v="Sports Equipment"/>
        <s v="Furniture"/>
        <s v="Clothing"/>
        <s v="Food &amp; Beverages"/>
        <s v="Stationery"/>
      </sharedItems>
    </cacheField>
    <cacheField name="Product Name" numFmtId="0">
      <sharedItems count="30">
        <s v="Laptop"/>
        <s v="Headphones"/>
        <s v="Bicycle"/>
        <s v="Bed"/>
        <s v="Tablet"/>
        <s v="Bookshelf"/>
        <s v="Shoes"/>
        <s v="Rice Bag"/>
        <s v="Jacket"/>
        <s v="Football"/>
        <s v="Jeans"/>
        <s v="File Folder"/>
        <s v="Juice Bottle"/>
        <s v="Dumbbells"/>
        <s v="T-Shirt"/>
        <s v="Dress"/>
        <s v="Notebook"/>
        <s v="Tennis Racket"/>
        <s v="Stapler"/>
        <s v="Snack Box"/>
        <s v="Smartphone"/>
        <s v="Coffee Pack"/>
        <s v="Sofa"/>
        <s v="Smartwatch"/>
        <s v="Yoga Mat"/>
        <s v="Pen"/>
        <s v="Chair"/>
        <s v="Marker"/>
        <s v="Tea Pack"/>
        <s v="Desk"/>
      </sharedItems>
    </cacheField>
    <cacheField name="Region" numFmtId="0">
      <sharedItems count="4">
        <s v="East"/>
        <s v="West"/>
        <s v="South"/>
        <s v="North"/>
      </sharedItems>
    </cacheField>
    <cacheField name="Unit Price" numFmtId="0">
      <sharedItems containsSemiMixedTypes="0" containsString="0" containsNumber="1" containsInteger="1" minValue="116" maxValue="79560"/>
    </cacheField>
    <cacheField name="Quantity Sold" numFmtId="0">
      <sharedItems containsSemiMixedTypes="0" containsString="0" containsNumber="1" containsInteger="1" minValue="1" maxValue="30"/>
    </cacheField>
    <cacheField name="Sales Amount" numFmtId="0">
      <sharedItems containsSemiMixedTypes="0" containsString="0" containsNumber="1" containsInteger="1" minValue="456" maxValue="1989000"/>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930153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s v="ORD001"/>
    <x v="0"/>
    <x v="0"/>
    <x v="0"/>
    <n v="60085"/>
    <n v="9"/>
    <n v="540765"/>
  </r>
  <r>
    <x v="1"/>
    <s v="ORD002"/>
    <x v="0"/>
    <x v="1"/>
    <x v="0"/>
    <n v="65710"/>
    <n v="23"/>
    <n v="1511330"/>
  </r>
  <r>
    <x v="2"/>
    <s v="ORD003"/>
    <x v="1"/>
    <x v="2"/>
    <x v="1"/>
    <n v="24393"/>
    <n v="8"/>
    <n v="195144"/>
  </r>
  <r>
    <x v="3"/>
    <s v="ORD004"/>
    <x v="2"/>
    <x v="3"/>
    <x v="1"/>
    <n v="14617"/>
    <n v="13"/>
    <n v="190021"/>
  </r>
  <r>
    <x v="4"/>
    <s v="ORD005"/>
    <x v="0"/>
    <x v="4"/>
    <x v="2"/>
    <n v="44977"/>
    <n v="29"/>
    <n v="1304333"/>
  </r>
  <r>
    <x v="5"/>
    <s v="ORD006"/>
    <x v="2"/>
    <x v="5"/>
    <x v="2"/>
    <n v="12389"/>
    <n v="25"/>
    <n v="309725"/>
  </r>
  <r>
    <x v="6"/>
    <s v="ORD007"/>
    <x v="3"/>
    <x v="6"/>
    <x v="1"/>
    <n v="1930"/>
    <n v="9"/>
    <n v="17370"/>
  </r>
  <r>
    <x v="7"/>
    <s v="ORD008"/>
    <x v="1"/>
    <x v="2"/>
    <x v="3"/>
    <n v="5191"/>
    <n v="15"/>
    <n v="77865"/>
  </r>
  <r>
    <x v="8"/>
    <s v="ORD009"/>
    <x v="4"/>
    <x v="7"/>
    <x v="3"/>
    <n v="1241"/>
    <n v="9"/>
    <n v="11169"/>
  </r>
  <r>
    <x v="9"/>
    <s v="ORD010"/>
    <x v="3"/>
    <x v="8"/>
    <x v="0"/>
    <n v="7918"/>
    <n v="5"/>
    <n v="39590"/>
  </r>
  <r>
    <x v="10"/>
    <s v="ORD011"/>
    <x v="1"/>
    <x v="9"/>
    <x v="1"/>
    <n v="16820"/>
    <n v="20"/>
    <n v="336400"/>
  </r>
  <r>
    <x v="11"/>
    <s v="ORD012"/>
    <x v="3"/>
    <x v="10"/>
    <x v="3"/>
    <n v="10438"/>
    <n v="12"/>
    <n v="125256"/>
  </r>
  <r>
    <x v="12"/>
    <s v="ORD013"/>
    <x v="5"/>
    <x v="11"/>
    <x v="1"/>
    <n v="1738"/>
    <n v="27"/>
    <n v="46926"/>
  </r>
  <r>
    <x v="13"/>
    <s v="ORD014"/>
    <x v="4"/>
    <x v="12"/>
    <x v="1"/>
    <n v="4872"/>
    <n v="17"/>
    <n v="82824"/>
  </r>
  <r>
    <x v="14"/>
    <s v="ORD015"/>
    <x v="3"/>
    <x v="10"/>
    <x v="0"/>
    <n v="3218"/>
    <n v="9"/>
    <n v="28962"/>
  </r>
  <r>
    <x v="15"/>
    <s v="ORD016"/>
    <x v="0"/>
    <x v="0"/>
    <x v="1"/>
    <n v="78736"/>
    <n v="15"/>
    <n v="1181040"/>
  </r>
  <r>
    <x v="16"/>
    <s v="ORD017"/>
    <x v="1"/>
    <x v="13"/>
    <x v="3"/>
    <n v="7056"/>
    <n v="3"/>
    <n v="21168"/>
  </r>
  <r>
    <x v="17"/>
    <s v="ORD018"/>
    <x v="3"/>
    <x v="14"/>
    <x v="0"/>
    <n v="8526"/>
    <n v="15"/>
    <n v="127890"/>
  </r>
  <r>
    <x v="18"/>
    <s v="ORD019"/>
    <x v="3"/>
    <x v="15"/>
    <x v="3"/>
    <n v="14002"/>
    <n v="21"/>
    <n v="294042"/>
  </r>
  <r>
    <x v="19"/>
    <s v="ORD020"/>
    <x v="4"/>
    <x v="7"/>
    <x v="3"/>
    <n v="2570"/>
    <n v="14"/>
    <n v="35980"/>
  </r>
  <r>
    <x v="20"/>
    <s v="ORD021"/>
    <x v="5"/>
    <x v="16"/>
    <x v="2"/>
    <n v="281"/>
    <n v="11"/>
    <n v="3091"/>
  </r>
  <r>
    <x v="21"/>
    <s v="ORD022"/>
    <x v="1"/>
    <x v="17"/>
    <x v="0"/>
    <n v="11966"/>
    <n v="3"/>
    <n v="35898"/>
  </r>
  <r>
    <x v="22"/>
    <s v="ORD023"/>
    <x v="1"/>
    <x v="13"/>
    <x v="2"/>
    <n v="13584"/>
    <n v="16"/>
    <n v="217344"/>
  </r>
  <r>
    <x v="23"/>
    <s v="ORD024"/>
    <x v="2"/>
    <x v="3"/>
    <x v="1"/>
    <n v="18650"/>
    <n v="27"/>
    <n v="503550"/>
  </r>
  <r>
    <x v="24"/>
    <s v="ORD025"/>
    <x v="1"/>
    <x v="9"/>
    <x v="3"/>
    <n v="20735"/>
    <n v="26"/>
    <n v="539110"/>
  </r>
  <r>
    <x v="25"/>
    <s v="ORD026"/>
    <x v="5"/>
    <x v="18"/>
    <x v="2"/>
    <n v="1899"/>
    <n v="2"/>
    <n v="3798"/>
  </r>
  <r>
    <x v="26"/>
    <s v="ORD027"/>
    <x v="1"/>
    <x v="2"/>
    <x v="2"/>
    <n v="23327"/>
    <n v="21"/>
    <n v="489867"/>
  </r>
  <r>
    <x v="27"/>
    <s v="ORD028"/>
    <x v="2"/>
    <x v="5"/>
    <x v="2"/>
    <n v="11572"/>
    <n v="1"/>
    <n v="11572"/>
  </r>
  <r>
    <x v="28"/>
    <s v="ORD029"/>
    <x v="4"/>
    <x v="19"/>
    <x v="2"/>
    <n v="4588"/>
    <n v="7"/>
    <n v="32116"/>
  </r>
  <r>
    <x v="29"/>
    <s v="ORD030"/>
    <x v="0"/>
    <x v="20"/>
    <x v="1"/>
    <n v="34741"/>
    <n v="25"/>
    <n v="868525"/>
  </r>
  <r>
    <x v="30"/>
    <s v="ORD031"/>
    <x v="0"/>
    <x v="1"/>
    <x v="2"/>
    <n v="31450"/>
    <n v="20"/>
    <n v="629000"/>
  </r>
  <r>
    <x v="31"/>
    <s v="ORD032"/>
    <x v="0"/>
    <x v="0"/>
    <x v="2"/>
    <n v="79560"/>
    <n v="25"/>
    <n v="1989000"/>
  </r>
  <r>
    <x v="32"/>
    <s v="ORD033"/>
    <x v="3"/>
    <x v="14"/>
    <x v="2"/>
    <n v="7075"/>
    <n v="8"/>
    <n v="56600"/>
  </r>
  <r>
    <x v="33"/>
    <s v="ORD034"/>
    <x v="1"/>
    <x v="13"/>
    <x v="0"/>
    <n v="22648"/>
    <n v="29"/>
    <n v="656792"/>
  </r>
  <r>
    <x v="34"/>
    <s v="ORD035"/>
    <x v="4"/>
    <x v="12"/>
    <x v="2"/>
    <n v="8095"/>
    <n v="8"/>
    <n v="64760"/>
  </r>
  <r>
    <x v="35"/>
    <s v="ORD036"/>
    <x v="5"/>
    <x v="16"/>
    <x v="2"/>
    <n v="3232"/>
    <n v="25"/>
    <n v="80800"/>
  </r>
  <r>
    <x v="36"/>
    <s v="ORD037"/>
    <x v="5"/>
    <x v="11"/>
    <x v="0"/>
    <n v="2704"/>
    <n v="19"/>
    <n v="51376"/>
  </r>
  <r>
    <x v="37"/>
    <s v="ORD038"/>
    <x v="0"/>
    <x v="0"/>
    <x v="3"/>
    <n v="68038"/>
    <n v="2"/>
    <n v="136076"/>
  </r>
  <r>
    <x v="38"/>
    <s v="ORD039"/>
    <x v="2"/>
    <x v="5"/>
    <x v="2"/>
    <n v="18867"/>
    <n v="2"/>
    <n v="37734"/>
  </r>
  <r>
    <x v="39"/>
    <s v="ORD040"/>
    <x v="3"/>
    <x v="10"/>
    <x v="1"/>
    <n v="13939"/>
    <n v="13"/>
    <n v="181207"/>
  </r>
  <r>
    <x v="40"/>
    <s v="ORD041"/>
    <x v="4"/>
    <x v="21"/>
    <x v="0"/>
    <n v="2038"/>
    <n v="11"/>
    <n v="22418"/>
  </r>
  <r>
    <x v="41"/>
    <s v="ORD042"/>
    <x v="2"/>
    <x v="3"/>
    <x v="2"/>
    <n v="15561"/>
    <n v="21"/>
    <n v="326781"/>
  </r>
  <r>
    <x v="42"/>
    <s v="ORD043"/>
    <x v="2"/>
    <x v="22"/>
    <x v="0"/>
    <n v="29864"/>
    <n v="2"/>
    <n v="59728"/>
  </r>
  <r>
    <x v="43"/>
    <s v="ORD044"/>
    <x v="0"/>
    <x v="23"/>
    <x v="0"/>
    <n v="72726"/>
    <n v="13"/>
    <n v="945438"/>
  </r>
  <r>
    <x v="44"/>
    <s v="ORD045"/>
    <x v="1"/>
    <x v="17"/>
    <x v="3"/>
    <n v="9170"/>
    <n v="5"/>
    <n v="45850"/>
  </r>
  <r>
    <x v="45"/>
    <s v="ORD046"/>
    <x v="1"/>
    <x v="9"/>
    <x v="0"/>
    <n v="12256"/>
    <n v="17"/>
    <n v="208352"/>
  </r>
  <r>
    <x v="46"/>
    <s v="ORD047"/>
    <x v="4"/>
    <x v="19"/>
    <x v="1"/>
    <n v="7966"/>
    <n v="28"/>
    <n v="223048"/>
  </r>
  <r>
    <x v="47"/>
    <s v="ORD048"/>
    <x v="3"/>
    <x v="6"/>
    <x v="1"/>
    <n v="11634"/>
    <n v="26"/>
    <n v="302484"/>
  </r>
  <r>
    <x v="48"/>
    <s v="ORD049"/>
    <x v="0"/>
    <x v="4"/>
    <x v="2"/>
    <n v="23778"/>
    <n v="30"/>
    <n v="713340"/>
  </r>
  <r>
    <x v="49"/>
    <s v="ORD050"/>
    <x v="1"/>
    <x v="24"/>
    <x v="1"/>
    <n v="11647"/>
    <n v="15"/>
    <n v="174705"/>
  </r>
  <r>
    <x v="50"/>
    <s v="ORD051"/>
    <x v="5"/>
    <x v="25"/>
    <x v="1"/>
    <n v="993"/>
    <n v="23"/>
    <n v="22839"/>
  </r>
  <r>
    <x v="51"/>
    <s v="ORD052"/>
    <x v="0"/>
    <x v="23"/>
    <x v="2"/>
    <n v="71312"/>
    <n v="5"/>
    <n v="356560"/>
  </r>
  <r>
    <x v="52"/>
    <s v="ORD053"/>
    <x v="3"/>
    <x v="14"/>
    <x v="3"/>
    <n v="10284"/>
    <n v="2"/>
    <n v="20568"/>
  </r>
  <r>
    <x v="53"/>
    <s v="ORD054"/>
    <x v="4"/>
    <x v="19"/>
    <x v="1"/>
    <n v="874"/>
    <n v="13"/>
    <n v="11362"/>
  </r>
  <r>
    <x v="54"/>
    <s v="ORD055"/>
    <x v="1"/>
    <x v="17"/>
    <x v="3"/>
    <n v="10923"/>
    <n v="24"/>
    <n v="262152"/>
  </r>
  <r>
    <x v="55"/>
    <s v="ORD056"/>
    <x v="0"/>
    <x v="23"/>
    <x v="1"/>
    <n v="71427"/>
    <n v="4"/>
    <n v="285708"/>
  </r>
  <r>
    <x v="56"/>
    <s v="ORD057"/>
    <x v="2"/>
    <x v="26"/>
    <x v="3"/>
    <n v="24757"/>
    <n v="11"/>
    <n v="272327"/>
  </r>
  <r>
    <x v="57"/>
    <s v="ORD058"/>
    <x v="1"/>
    <x v="9"/>
    <x v="2"/>
    <n v="11589"/>
    <n v="23"/>
    <n v="266547"/>
  </r>
  <r>
    <x v="58"/>
    <s v="ORD059"/>
    <x v="5"/>
    <x v="27"/>
    <x v="0"/>
    <n v="1780"/>
    <n v="9"/>
    <n v="16020"/>
  </r>
  <r>
    <x v="59"/>
    <s v="ORD060"/>
    <x v="3"/>
    <x v="8"/>
    <x v="1"/>
    <n v="3499"/>
    <n v="22"/>
    <n v="76978"/>
  </r>
  <r>
    <x v="60"/>
    <s v="ORD061"/>
    <x v="5"/>
    <x v="16"/>
    <x v="2"/>
    <n v="3328"/>
    <n v="22"/>
    <n v="73216"/>
  </r>
  <r>
    <x v="61"/>
    <s v="ORD062"/>
    <x v="0"/>
    <x v="0"/>
    <x v="1"/>
    <n v="69232"/>
    <n v="2"/>
    <n v="138464"/>
  </r>
  <r>
    <x v="62"/>
    <s v="ORD063"/>
    <x v="0"/>
    <x v="4"/>
    <x v="3"/>
    <n v="22774"/>
    <n v="24"/>
    <n v="546576"/>
  </r>
  <r>
    <x v="63"/>
    <s v="ORD064"/>
    <x v="3"/>
    <x v="14"/>
    <x v="1"/>
    <n v="10115"/>
    <n v="16"/>
    <n v="161840"/>
  </r>
  <r>
    <x v="64"/>
    <s v="ORD065"/>
    <x v="5"/>
    <x v="11"/>
    <x v="1"/>
    <n v="3487"/>
    <n v="12"/>
    <n v="41844"/>
  </r>
  <r>
    <x v="65"/>
    <s v="ORD066"/>
    <x v="3"/>
    <x v="8"/>
    <x v="1"/>
    <n v="2660"/>
    <n v="9"/>
    <n v="23940"/>
  </r>
  <r>
    <x v="66"/>
    <s v="ORD067"/>
    <x v="2"/>
    <x v="3"/>
    <x v="1"/>
    <n v="15276"/>
    <n v="30"/>
    <n v="458280"/>
  </r>
  <r>
    <x v="67"/>
    <s v="ORD068"/>
    <x v="0"/>
    <x v="0"/>
    <x v="2"/>
    <n v="47124"/>
    <n v="29"/>
    <n v="1366596"/>
  </r>
  <r>
    <x v="68"/>
    <s v="ORD069"/>
    <x v="2"/>
    <x v="5"/>
    <x v="2"/>
    <n v="5319"/>
    <n v="21"/>
    <n v="111699"/>
  </r>
  <r>
    <x v="69"/>
    <s v="ORD070"/>
    <x v="5"/>
    <x v="16"/>
    <x v="1"/>
    <n v="116"/>
    <n v="27"/>
    <n v="3132"/>
  </r>
  <r>
    <x v="70"/>
    <s v="ORD071"/>
    <x v="3"/>
    <x v="14"/>
    <x v="0"/>
    <n v="13985"/>
    <n v="16"/>
    <n v="223760"/>
  </r>
  <r>
    <x v="71"/>
    <s v="ORD072"/>
    <x v="2"/>
    <x v="5"/>
    <x v="0"/>
    <n v="16246"/>
    <n v="13"/>
    <n v="211198"/>
  </r>
  <r>
    <x v="72"/>
    <s v="ORD073"/>
    <x v="5"/>
    <x v="25"/>
    <x v="3"/>
    <n v="2186"/>
    <n v="30"/>
    <n v="65580"/>
  </r>
  <r>
    <x v="73"/>
    <s v="ORD074"/>
    <x v="0"/>
    <x v="23"/>
    <x v="1"/>
    <n v="40249"/>
    <n v="1"/>
    <n v="40249"/>
  </r>
  <r>
    <x v="74"/>
    <s v="ORD075"/>
    <x v="3"/>
    <x v="14"/>
    <x v="0"/>
    <n v="6632"/>
    <n v="19"/>
    <n v="126008"/>
  </r>
  <r>
    <x v="75"/>
    <s v="ORD076"/>
    <x v="2"/>
    <x v="5"/>
    <x v="2"/>
    <n v="6206"/>
    <n v="15"/>
    <n v="93090"/>
  </r>
  <r>
    <x v="76"/>
    <s v="ORD077"/>
    <x v="2"/>
    <x v="3"/>
    <x v="2"/>
    <n v="12101"/>
    <n v="7"/>
    <n v="84707"/>
  </r>
  <r>
    <x v="77"/>
    <s v="ORD078"/>
    <x v="2"/>
    <x v="26"/>
    <x v="2"/>
    <n v="14131"/>
    <n v="16"/>
    <n v="226096"/>
  </r>
  <r>
    <x v="78"/>
    <s v="ORD079"/>
    <x v="4"/>
    <x v="28"/>
    <x v="3"/>
    <n v="4982"/>
    <n v="24"/>
    <n v="119568"/>
  </r>
  <r>
    <x v="79"/>
    <s v="ORD080"/>
    <x v="3"/>
    <x v="6"/>
    <x v="2"/>
    <n v="11278"/>
    <n v="9"/>
    <n v="101502"/>
  </r>
  <r>
    <x v="80"/>
    <s v="ORD081"/>
    <x v="0"/>
    <x v="20"/>
    <x v="2"/>
    <n v="62425"/>
    <n v="4"/>
    <n v="249700"/>
  </r>
  <r>
    <x v="81"/>
    <s v="ORD082"/>
    <x v="0"/>
    <x v="0"/>
    <x v="0"/>
    <n v="46403"/>
    <n v="22"/>
    <n v="1020866"/>
  </r>
  <r>
    <x v="82"/>
    <s v="ORD083"/>
    <x v="2"/>
    <x v="5"/>
    <x v="1"/>
    <n v="14844"/>
    <n v="24"/>
    <n v="356256"/>
  </r>
  <r>
    <x v="83"/>
    <s v="ORD084"/>
    <x v="2"/>
    <x v="26"/>
    <x v="2"/>
    <n v="6298"/>
    <n v="30"/>
    <n v="188940"/>
  </r>
  <r>
    <x v="84"/>
    <s v="ORD085"/>
    <x v="3"/>
    <x v="6"/>
    <x v="2"/>
    <n v="10635"/>
    <n v="8"/>
    <n v="85080"/>
  </r>
  <r>
    <x v="85"/>
    <s v="ORD086"/>
    <x v="3"/>
    <x v="15"/>
    <x v="0"/>
    <n v="10790"/>
    <n v="2"/>
    <n v="21580"/>
  </r>
  <r>
    <x v="86"/>
    <s v="ORD087"/>
    <x v="3"/>
    <x v="8"/>
    <x v="3"/>
    <n v="12877"/>
    <n v="29"/>
    <n v="373433"/>
  </r>
  <r>
    <x v="87"/>
    <s v="ORD088"/>
    <x v="2"/>
    <x v="22"/>
    <x v="0"/>
    <n v="20318"/>
    <n v="8"/>
    <n v="162544"/>
  </r>
  <r>
    <x v="88"/>
    <s v="ORD089"/>
    <x v="1"/>
    <x v="17"/>
    <x v="3"/>
    <n v="7357"/>
    <n v="3"/>
    <n v="22071"/>
  </r>
  <r>
    <x v="89"/>
    <s v="ORD090"/>
    <x v="1"/>
    <x v="13"/>
    <x v="1"/>
    <n v="17447"/>
    <n v="25"/>
    <n v="436175"/>
  </r>
  <r>
    <x v="90"/>
    <s v="ORD091"/>
    <x v="4"/>
    <x v="7"/>
    <x v="3"/>
    <n v="3879"/>
    <n v="9"/>
    <n v="34911"/>
  </r>
  <r>
    <x v="91"/>
    <s v="ORD092"/>
    <x v="3"/>
    <x v="10"/>
    <x v="1"/>
    <n v="2307"/>
    <n v="6"/>
    <n v="13842"/>
  </r>
  <r>
    <x v="92"/>
    <s v="ORD093"/>
    <x v="0"/>
    <x v="1"/>
    <x v="0"/>
    <n v="34234"/>
    <n v="27"/>
    <n v="924318"/>
  </r>
  <r>
    <x v="93"/>
    <s v="ORD094"/>
    <x v="1"/>
    <x v="17"/>
    <x v="3"/>
    <n v="20772"/>
    <n v="20"/>
    <n v="415440"/>
  </r>
  <r>
    <x v="94"/>
    <s v="ORD095"/>
    <x v="4"/>
    <x v="19"/>
    <x v="3"/>
    <n v="5991"/>
    <n v="14"/>
    <n v="83874"/>
  </r>
  <r>
    <x v="95"/>
    <s v="ORD096"/>
    <x v="0"/>
    <x v="20"/>
    <x v="2"/>
    <n v="77780"/>
    <n v="19"/>
    <n v="1477820"/>
  </r>
  <r>
    <x v="96"/>
    <s v="ORD097"/>
    <x v="4"/>
    <x v="7"/>
    <x v="1"/>
    <n v="2270"/>
    <n v="10"/>
    <n v="22700"/>
  </r>
  <r>
    <x v="97"/>
    <s v="ORD098"/>
    <x v="5"/>
    <x v="18"/>
    <x v="0"/>
    <n v="4997"/>
    <n v="29"/>
    <n v="144913"/>
  </r>
  <r>
    <x v="98"/>
    <s v="ORD099"/>
    <x v="3"/>
    <x v="14"/>
    <x v="1"/>
    <n v="14283"/>
    <n v="9"/>
    <n v="128547"/>
  </r>
  <r>
    <x v="99"/>
    <s v="ORD100"/>
    <x v="4"/>
    <x v="7"/>
    <x v="1"/>
    <n v="5526"/>
    <n v="19"/>
    <n v="104994"/>
  </r>
  <r>
    <x v="100"/>
    <s v="ORD101"/>
    <x v="3"/>
    <x v="14"/>
    <x v="1"/>
    <n v="5982"/>
    <n v="5"/>
    <n v="29910"/>
  </r>
  <r>
    <x v="101"/>
    <s v="ORD102"/>
    <x v="4"/>
    <x v="7"/>
    <x v="0"/>
    <n v="8725"/>
    <n v="23"/>
    <n v="200675"/>
  </r>
  <r>
    <x v="102"/>
    <s v="ORD103"/>
    <x v="1"/>
    <x v="13"/>
    <x v="3"/>
    <n v="10698"/>
    <n v="30"/>
    <n v="320940"/>
  </r>
  <r>
    <x v="103"/>
    <s v="ORD104"/>
    <x v="0"/>
    <x v="23"/>
    <x v="2"/>
    <n v="57964"/>
    <n v="1"/>
    <n v="57964"/>
  </r>
  <r>
    <x v="104"/>
    <s v="ORD105"/>
    <x v="0"/>
    <x v="4"/>
    <x v="0"/>
    <n v="68466"/>
    <n v="27"/>
    <n v="1848582"/>
  </r>
  <r>
    <x v="105"/>
    <s v="ORD106"/>
    <x v="1"/>
    <x v="2"/>
    <x v="0"/>
    <n v="9649"/>
    <n v="27"/>
    <n v="260523"/>
  </r>
  <r>
    <x v="106"/>
    <s v="ORD107"/>
    <x v="5"/>
    <x v="27"/>
    <x v="3"/>
    <n v="1507"/>
    <n v="20"/>
    <n v="30140"/>
  </r>
  <r>
    <x v="107"/>
    <s v="ORD108"/>
    <x v="0"/>
    <x v="1"/>
    <x v="1"/>
    <n v="79477"/>
    <n v="3"/>
    <n v="238431"/>
  </r>
  <r>
    <x v="108"/>
    <s v="ORD109"/>
    <x v="4"/>
    <x v="12"/>
    <x v="1"/>
    <n v="2904"/>
    <n v="3"/>
    <n v="8712"/>
  </r>
  <r>
    <x v="109"/>
    <s v="ORD110"/>
    <x v="3"/>
    <x v="8"/>
    <x v="1"/>
    <n v="3057"/>
    <n v="7"/>
    <n v="21399"/>
  </r>
  <r>
    <x v="110"/>
    <s v="ORD111"/>
    <x v="3"/>
    <x v="10"/>
    <x v="0"/>
    <n v="11611"/>
    <n v="10"/>
    <n v="116110"/>
  </r>
  <r>
    <x v="111"/>
    <s v="ORD112"/>
    <x v="1"/>
    <x v="2"/>
    <x v="2"/>
    <n v="3646"/>
    <n v="18"/>
    <n v="65628"/>
  </r>
  <r>
    <x v="112"/>
    <s v="ORD113"/>
    <x v="5"/>
    <x v="16"/>
    <x v="2"/>
    <n v="1159"/>
    <n v="9"/>
    <n v="10431"/>
  </r>
  <r>
    <x v="113"/>
    <s v="ORD114"/>
    <x v="0"/>
    <x v="20"/>
    <x v="2"/>
    <n v="76358"/>
    <n v="14"/>
    <n v="1069012"/>
  </r>
  <r>
    <x v="114"/>
    <s v="ORD115"/>
    <x v="1"/>
    <x v="13"/>
    <x v="3"/>
    <n v="12234"/>
    <n v="28"/>
    <n v="342552"/>
  </r>
  <r>
    <x v="115"/>
    <s v="ORD116"/>
    <x v="1"/>
    <x v="13"/>
    <x v="1"/>
    <n v="8584"/>
    <n v="11"/>
    <n v="94424"/>
  </r>
  <r>
    <x v="116"/>
    <s v="ORD117"/>
    <x v="1"/>
    <x v="2"/>
    <x v="0"/>
    <n v="10628"/>
    <n v="21"/>
    <n v="223188"/>
  </r>
  <r>
    <x v="117"/>
    <s v="ORD118"/>
    <x v="5"/>
    <x v="25"/>
    <x v="3"/>
    <n v="4118"/>
    <n v="29"/>
    <n v="119422"/>
  </r>
  <r>
    <x v="118"/>
    <s v="ORD119"/>
    <x v="1"/>
    <x v="13"/>
    <x v="2"/>
    <n v="5726"/>
    <n v="23"/>
    <n v="131698"/>
  </r>
  <r>
    <x v="119"/>
    <s v="ORD120"/>
    <x v="4"/>
    <x v="7"/>
    <x v="2"/>
    <n v="9360"/>
    <n v="28"/>
    <n v="262080"/>
  </r>
  <r>
    <x v="120"/>
    <s v="ORD121"/>
    <x v="4"/>
    <x v="19"/>
    <x v="0"/>
    <n v="6888"/>
    <n v="24"/>
    <n v="165312"/>
  </r>
  <r>
    <x v="121"/>
    <s v="ORD122"/>
    <x v="2"/>
    <x v="5"/>
    <x v="0"/>
    <n v="21538"/>
    <n v="12"/>
    <n v="258456"/>
  </r>
  <r>
    <x v="122"/>
    <s v="ORD123"/>
    <x v="0"/>
    <x v="1"/>
    <x v="2"/>
    <n v="44514"/>
    <n v="6"/>
    <n v="267084"/>
  </r>
  <r>
    <x v="123"/>
    <s v="ORD124"/>
    <x v="2"/>
    <x v="26"/>
    <x v="2"/>
    <n v="24841"/>
    <n v="24"/>
    <n v="596184"/>
  </r>
  <r>
    <x v="124"/>
    <s v="ORD125"/>
    <x v="3"/>
    <x v="14"/>
    <x v="1"/>
    <n v="14578"/>
    <n v="18"/>
    <n v="262404"/>
  </r>
  <r>
    <x v="125"/>
    <s v="ORD126"/>
    <x v="3"/>
    <x v="8"/>
    <x v="0"/>
    <n v="14377"/>
    <n v="25"/>
    <n v="359425"/>
  </r>
  <r>
    <x v="126"/>
    <s v="ORD127"/>
    <x v="3"/>
    <x v="14"/>
    <x v="0"/>
    <n v="2310"/>
    <n v="9"/>
    <n v="20790"/>
  </r>
  <r>
    <x v="127"/>
    <s v="ORD128"/>
    <x v="4"/>
    <x v="28"/>
    <x v="0"/>
    <n v="9644"/>
    <n v="14"/>
    <n v="135016"/>
  </r>
  <r>
    <x v="128"/>
    <s v="ORD129"/>
    <x v="1"/>
    <x v="17"/>
    <x v="2"/>
    <n v="15317"/>
    <n v="14"/>
    <n v="214438"/>
  </r>
  <r>
    <x v="129"/>
    <s v="ORD130"/>
    <x v="5"/>
    <x v="11"/>
    <x v="2"/>
    <n v="2777"/>
    <n v="7"/>
    <n v="19439"/>
  </r>
  <r>
    <x v="130"/>
    <s v="ORD131"/>
    <x v="2"/>
    <x v="5"/>
    <x v="3"/>
    <n v="9486"/>
    <n v="27"/>
    <n v="256122"/>
  </r>
  <r>
    <x v="131"/>
    <s v="ORD132"/>
    <x v="2"/>
    <x v="22"/>
    <x v="2"/>
    <n v="24684"/>
    <n v="11"/>
    <n v="271524"/>
  </r>
  <r>
    <x v="132"/>
    <s v="ORD133"/>
    <x v="1"/>
    <x v="2"/>
    <x v="1"/>
    <n v="23795"/>
    <n v="16"/>
    <n v="380720"/>
  </r>
  <r>
    <x v="133"/>
    <s v="ORD134"/>
    <x v="3"/>
    <x v="15"/>
    <x v="1"/>
    <n v="13607"/>
    <n v="8"/>
    <n v="108856"/>
  </r>
  <r>
    <x v="134"/>
    <s v="ORD135"/>
    <x v="3"/>
    <x v="15"/>
    <x v="3"/>
    <n v="9974"/>
    <n v="30"/>
    <n v="299220"/>
  </r>
  <r>
    <x v="135"/>
    <s v="ORD136"/>
    <x v="0"/>
    <x v="1"/>
    <x v="2"/>
    <n v="70275"/>
    <n v="12"/>
    <n v="843300"/>
  </r>
  <r>
    <x v="136"/>
    <s v="ORD137"/>
    <x v="5"/>
    <x v="16"/>
    <x v="2"/>
    <n v="1393"/>
    <n v="22"/>
    <n v="30646"/>
  </r>
  <r>
    <x v="137"/>
    <s v="ORD138"/>
    <x v="3"/>
    <x v="10"/>
    <x v="2"/>
    <n v="11138"/>
    <n v="8"/>
    <n v="89104"/>
  </r>
  <r>
    <x v="138"/>
    <s v="ORD139"/>
    <x v="1"/>
    <x v="13"/>
    <x v="3"/>
    <n v="19608"/>
    <n v="10"/>
    <n v="196080"/>
  </r>
  <r>
    <x v="139"/>
    <s v="ORD140"/>
    <x v="2"/>
    <x v="22"/>
    <x v="2"/>
    <n v="22438"/>
    <n v="12"/>
    <n v="269256"/>
  </r>
  <r>
    <x v="140"/>
    <s v="ORD141"/>
    <x v="4"/>
    <x v="7"/>
    <x v="2"/>
    <n v="8250"/>
    <n v="26"/>
    <n v="214500"/>
  </r>
  <r>
    <x v="141"/>
    <s v="ORD142"/>
    <x v="1"/>
    <x v="2"/>
    <x v="0"/>
    <n v="14543"/>
    <n v="11"/>
    <n v="159973"/>
  </r>
  <r>
    <x v="142"/>
    <s v="ORD143"/>
    <x v="1"/>
    <x v="17"/>
    <x v="3"/>
    <n v="16681"/>
    <n v="30"/>
    <n v="500430"/>
  </r>
  <r>
    <x v="143"/>
    <s v="ORD144"/>
    <x v="0"/>
    <x v="20"/>
    <x v="0"/>
    <n v="65808"/>
    <n v="11"/>
    <n v="723888"/>
  </r>
  <r>
    <x v="144"/>
    <s v="ORD145"/>
    <x v="4"/>
    <x v="12"/>
    <x v="0"/>
    <n v="2010"/>
    <n v="11"/>
    <n v="22110"/>
  </r>
  <r>
    <x v="145"/>
    <s v="ORD146"/>
    <x v="4"/>
    <x v="28"/>
    <x v="1"/>
    <n v="3423"/>
    <n v="20"/>
    <n v="68460"/>
  </r>
  <r>
    <x v="146"/>
    <s v="ORD147"/>
    <x v="0"/>
    <x v="0"/>
    <x v="3"/>
    <n v="20690"/>
    <n v="15"/>
    <n v="310350"/>
  </r>
  <r>
    <x v="147"/>
    <s v="ORD148"/>
    <x v="1"/>
    <x v="2"/>
    <x v="3"/>
    <n v="7822"/>
    <n v="9"/>
    <n v="70398"/>
  </r>
  <r>
    <x v="148"/>
    <s v="ORD149"/>
    <x v="1"/>
    <x v="17"/>
    <x v="3"/>
    <n v="2233"/>
    <n v="23"/>
    <n v="51359"/>
  </r>
  <r>
    <x v="149"/>
    <s v="ORD150"/>
    <x v="2"/>
    <x v="29"/>
    <x v="0"/>
    <n v="13533"/>
    <n v="6"/>
    <n v="81198"/>
  </r>
  <r>
    <x v="150"/>
    <s v="ORD151"/>
    <x v="2"/>
    <x v="22"/>
    <x v="3"/>
    <n v="24405"/>
    <n v="24"/>
    <n v="585720"/>
  </r>
  <r>
    <x v="151"/>
    <s v="ORD152"/>
    <x v="1"/>
    <x v="9"/>
    <x v="2"/>
    <n v="23972"/>
    <n v="9"/>
    <n v="215748"/>
  </r>
  <r>
    <x v="152"/>
    <s v="ORD153"/>
    <x v="2"/>
    <x v="26"/>
    <x v="2"/>
    <n v="8015"/>
    <n v="3"/>
    <n v="24045"/>
  </r>
  <r>
    <x v="153"/>
    <s v="ORD154"/>
    <x v="4"/>
    <x v="19"/>
    <x v="1"/>
    <n v="4401"/>
    <n v="5"/>
    <n v="22005"/>
  </r>
  <r>
    <x v="154"/>
    <s v="ORD155"/>
    <x v="0"/>
    <x v="4"/>
    <x v="0"/>
    <n v="49360"/>
    <n v="20"/>
    <n v="987200"/>
  </r>
  <r>
    <x v="155"/>
    <s v="ORD156"/>
    <x v="4"/>
    <x v="12"/>
    <x v="2"/>
    <n v="5469"/>
    <n v="22"/>
    <n v="120318"/>
  </r>
  <r>
    <x v="156"/>
    <s v="ORD157"/>
    <x v="0"/>
    <x v="0"/>
    <x v="1"/>
    <n v="50983"/>
    <n v="9"/>
    <n v="458847"/>
  </r>
  <r>
    <x v="157"/>
    <s v="ORD158"/>
    <x v="3"/>
    <x v="8"/>
    <x v="0"/>
    <n v="9417"/>
    <n v="6"/>
    <n v="56502"/>
  </r>
  <r>
    <x v="158"/>
    <s v="ORD159"/>
    <x v="2"/>
    <x v="26"/>
    <x v="0"/>
    <n v="29441"/>
    <n v="5"/>
    <n v="147205"/>
  </r>
  <r>
    <x v="159"/>
    <s v="ORD160"/>
    <x v="2"/>
    <x v="5"/>
    <x v="3"/>
    <n v="15706"/>
    <n v="4"/>
    <n v="62824"/>
  </r>
  <r>
    <x v="160"/>
    <s v="ORD161"/>
    <x v="5"/>
    <x v="11"/>
    <x v="2"/>
    <n v="3195"/>
    <n v="6"/>
    <n v="19170"/>
  </r>
  <r>
    <x v="161"/>
    <s v="ORD162"/>
    <x v="0"/>
    <x v="23"/>
    <x v="1"/>
    <n v="59314"/>
    <n v="19"/>
    <n v="1126966"/>
  </r>
  <r>
    <x v="162"/>
    <s v="ORD163"/>
    <x v="2"/>
    <x v="22"/>
    <x v="1"/>
    <n v="28693"/>
    <n v="6"/>
    <n v="172158"/>
  </r>
  <r>
    <x v="163"/>
    <s v="ORD164"/>
    <x v="1"/>
    <x v="24"/>
    <x v="3"/>
    <n v="17849"/>
    <n v="29"/>
    <n v="517621"/>
  </r>
  <r>
    <x v="164"/>
    <s v="ORD165"/>
    <x v="4"/>
    <x v="28"/>
    <x v="1"/>
    <n v="8860"/>
    <n v="23"/>
    <n v="203780"/>
  </r>
  <r>
    <x v="165"/>
    <s v="ORD166"/>
    <x v="2"/>
    <x v="5"/>
    <x v="3"/>
    <n v="21722"/>
    <n v="2"/>
    <n v="43444"/>
  </r>
  <r>
    <x v="166"/>
    <s v="ORD167"/>
    <x v="3"/>
    <x v="14"/>
    <x v="2"/>
    <n v="5391"/>
    <n v="13"/>
    <n v="70083"/>
  </r>
  <r>
    <x v="167"/>
    <s v="ORD168"/>
    <x v="5"/>
    <x v="25"/>
    <x v="1"/>
    <n v="3814"/>
    <n v="9"/>
    <n v="34326"/>
  </r>
  <r>
    <x v="168"/>
    <s v="ORD169"/>
    <x v="4"/>
    <x v="12"/>
    <x v="3"/>
    <n v="1862"/>
    <n v="6"/>
    <n v="11172"/>
  </r>
  <r>
    <x v="169"/>
    <s v="ORD170"/>
    <x v="4"/>
    <x v="21"/>
    <x v="1"/>
    <n v="7375"/>
    <n v="22"/>
    <n v="162250"/>
  </r>
  <r>
    <x v="170"/>
    <s v="ORD171"/>
    <x v="3"/>
    <x v="6"/>
    <x v="0"/>
    <n v="1308"/>
    <n v="23"/>
    <n v="30084"/>
  </r>
  <r>
    <x v="171"/>
    <s v="ORD172"/>
    <x v="4"/>
    <x v="21"/>
    <x v="3"/>
    <n v="2827"/>
    <n v="5"/>
    <n v="14135"/>
  </r>
  <r>
    <x v="172"/>
    <s v="ORD173"/>
    <x v="5"/>
    <x v="18"/>
    <x v="2"/>
    <n v="4910"/>
    <n v="11"/>
    <n v="54010"/>
  </r>
  <r>
    <x v="173"/>
    <s v="ORD174"/>
    <x v="2"/>
    <x v="5"/>
    <x v="3"/>
    <n v="20459"/>
    <n v="24"/>
    <n v="491016"/>
  </r>
  <r>
    <x v="174"/>
    <s v="ORD175"/>
    <x v="2"/>
    <x v="26"/>
    <x v="1"/>
    <n v="14988"/>
    <n v="26"/>
    <n v="389688"/>
  </r>
  <r>
    <x v="175"/>
    <s v="ORD176"/>
    <x v="3"/>
    <x v="15"/>
    <x v="0"/>
    <n v="13770"/>
    <n v="5"/>
    <n v="68850"/>
  </r>
  <r>
    <x v="176"/>
    <s v="ORD177"/>
    <x v="3"/>
    <x v="15"/>
    <x v="1"/>
    <n v="10930"/>
    <n v="18"/>
    <n v="196740"/>
  </r>
  <r>
    <x v="177"/>
    <s v="ORD178"/>
    <x v="4"/>
    <x v="21"/>
    <x v="3"/>
    <n v="1577"/>
    <n v="22"/>
    <n v="34694"/>
  </r>
  <r>
    <x v="178"/>
    <s v="ORD179"/>
    <x v="2"/>
    <x v="29"/>
    <x v="0"/>
    <n v="21677"/>
    <n v="17"/>
    <n v="368509"/>
  </r>
  <r>
    <x v="179"/>
    <s v="ORD180"/>
    <x v="4"/>
    <x v="7"/>
    <x v="0"/>
    <n v="5259"/>
    <n v="8"/>
    <n v="42072"/>
  </r>
  <r>
    <x v="180"/>
    <s v="ORD181"/>
    <x v="4"/>
    <x v="21"/>
    <x v="1"/>
    <n v="5267"/>
    <n v="19"/>
    <n v="100073"/>
  </r>
  <r>
    <x v="181"/>
    <s v="ORD182"/>
    <x v="3"/>
    <x v="15"/>
    <x v="3"/>
    <n v="11720"/>
    <n v="6"/>
    <n v="70320"/>
  </r>
  <r>
    <x v="182"/>
    <s v="ORD183"/>
    <x v="5"/>
    <x v="27"/>
    <x v="1"/>
    <n v="2202"/>
    <n v="19"/>
    <n v="41838"/>
  </r>
  <r>
    <x v="183"/>
    <s v="ORD184"/>
    <x v="0"/>
    <x v="0"/>
    <x v="0"/>
    <n v="22507"/>
    <n v="9"/>
    <n v="202563"/>
  </r>
  <r>
    <x v="184"/>
    <s v="ORD185"/>
    <x v="3"/>
    <x v="15"/>
    <x v="2"/>
    <n v="13198"/>
    <n v="28"/>
    <n v="369544"/>
  </r>
  <r>
    <x v="185"/>
    <s v="ORD186"/>
    <x v="0"/>
    <x v="23"/>
    <x v="2"/>
    <n v="59155"/>
    <n v="17"/>
    <n v="1005635"/>
  </r>
  <r>
    <x v="186"/>
    <s v="ORD187"/>
    <x v="1"/>
    <x v="9"/>
    <x v="2"/>
    <n v="11002"/>
    <n v="28"/>
    <n v="308056"/>
  </r>
  <r>
    <x v="187"/>
    <s v="ORD188"/>
    <x v="3"/>
    <x v="14"/>
    <x v="3"/>
    <n v="10282"/>
    <n v="26"/>
    <n v="267332"/>
  </r>
  <r>
    <x v="188"/>
    <s v="ORD189"/>
    <x v="1"/>
    <x v="17"/>
    <x v="0"/>
    <n v="23784"/>
    <n v="16"/>
    <n v="380544"/>
  </r>
  <r>
    <x v="189"/>
    <s v="ORD190"/>
    <x v="3"/>
    <x v="14"/>
    <x v="1"/>
    <n v="4586"/>
    <n v="25"/>
    <n v="114650"/>
  </r>
  <r>
    <x v="190"/>
    <s v="ORD191"/>
    <x v="1"/>
    <x v="24"/>
    <x v="1"/>
    <n v="19391"/>
    <n v="6"/>
    <n v="116346"/>
  </r>
  <r>
    <x v="191"/>
    <s v="ORD192"/>
    <x v="5"/>
    <x v="25"/>
    <x v="0"/>
    <n v="3058"/>
    <n v="20"/>
    <n v="61160"/>
  </r>
  <r>
    <x v="192"/>
    <s v="ORD193"/>
    <x v="5"/>
    <x v="18"/>
    <x v="0"/>
    <n v="4900"/>
    <n v="29"/>
    <n v="142100"/>
  </r>
  <r>
    <x v="193"/>
    <s v="ORD194"/>
    <x v="2"/>
    <x v="22"/>
    <x v="1"/>
    <n v="18068"/>
    <n v="1"/>
    <n v="18068"/>
  </r>
  <r>
    <x v="194"/>
    <s v="ORD195"/>
    <x v="3"/>
    <x v="6"/>
    <x v="1"/>
    <n v="13818"/>
    <n v="25"/>
    <n v="345450"/>
  </r>
  <r>
    <x v="195"/>
    <s v="ORD196"/>
    <x v="3"/>
    <x v="8"/>
    <x v="0"/>
    <n v="9692"/>
    <n v="13"/>
    <n v="125996"/>
  </r>
  <r>
    <x v="196"/>
    <s v="ORD197"/>
    <x v="1"/>
    <x v="2"/>
    <x v="1"/>
    <n v="15641"/>
    <n v="7"/>
    <n v="109487"/>
  </r>
  <r>
    <x v="197"/>
    <s v="ORD198"/>
    <x v="5"/>
    <x v="25"/>
    <x v="0"/>
    <n v="1736"/>
    <n v="5"/>
    <n v="8680"/>
  </r>
  <r>
    <x v="198"/>
    <s v="ORD199"/>
    <x v="2"/>
    <x v="3"/>
    <x v="0"/>
    <n v="6774"/>
    <n v="11"/>
    <n v="74514"/>
  </r>
  <r>
    <x v="199"/>
    <s v="ORD200"/>
    <x v="3"/>
    <x v="6"/>
    <x v="1"/>
    <n v="12923"/>
    <n v="6"/>
    <n v="77538"/>
  </r>
  <r>
    <x v="200"/>
    <s v="ORD201"/>
    <x v="4"/>
    <x v="21"/>
    <x v="2"/>
    <n v="7599"/>
    <n v="3"/>
    <n v="22797"/>
  </r>
  <r>
    <x v="201"/>
    <s v="ORD202"/>
    <x v="0"/>
    <x v="23"/>
    <x v="3"/>
    <n v="25811"/>
    <n v="22"/>
    <n v="567842"/>
  </r>
  <r>
    <x v="202"/>
    <s v="ORD203"/>
    <x v="5"/>
    <x v="25"/>
    <x v="2"/>
    <n v="3937"/>
    <n v="7"/>
    <n v="27559"/>
  </r>
  <r>
    <x v="203"/>
    <s v="ORD204"/>
    <x v="1"/>
    <x v="2"/>
    <x v="2"/>
    <n v="6713"/>
    <n v="11"/>
    <n v="73843"/>
  </r>
  <r>
    <x v="204"/>
    <s v="ORD205"/>
    <x v="2"/>
    <x v="5"/>
    <x v="2"/>
    <n v="15037"/>
    <n v="17"/>
    <n v="255629"/>
  </r>
  <r>
    <x v="205"/>
    <s v="ORD206"/>
    <x v="4"/>
    <x v="21"/>
    <x v="2"/>
    <n v="9549"/>
    <n v="27"/>
    <n v="257823"/>
  </r>
  <r>
    <x v="206"/>
    <s v="ORD207"/>
    <x v="2"/>
    <x v="3"/>
    <x v="2"/>
    <n v="27075"/>
    <n v="16"/>
    <n v="433200"/>
  </r>
  <r>
    <x v="207"/>
    <s v="ORD208"/>
    <x v="4"/>
    <x v="19"/>
    <x v="3"/>
    <n v="9207"/>
    <n v="11"/>
    <n v="101277"/>
  </r>
  <r>
    <x v="208"/>
    <s v="ORD209"/>
    <x v="1"/>
    <x v="24"/>
    <x v="0"/>
    <n v="24406"/>
    <n v="5"/>
    <n v="122030"/>
  </r>
  <r>
    <x v="209"/>
    <s v="ORD210"/>
    <x v="2"/>
    <x v="5"/>
    <x v="2"/>
    <n v="19567"/>
    <n v="21"/>
    <n v="410907"/>
  </r>
  <r>
    <x v="210"/>
    <s v="ORD211"/>
    <x v="4"/>
    <x v="12"/>
    <x v="1"/>
    <n v="5470"/>
    <n v="3"/>
    <n v="16410"/>
  </r>
  <r>
    <x v="211"/>
    <s v="ORD212"/>
    <x v="1"/>
    <x v="2"/>
    <x v="0"/>
    <n v="14762"/>
    <n v="14"/>
    <n v="206668"/>
  </r>
  <r>
    <x v="212"/>
    <s v="ORD213"/>
    <x v="4"/>
    <x v="28"/>
    <x v="2"/>
    <n v="5222"/>
    <n v="13"/>
    <n v="67886"/>
  </r>
  <r>
    <x v="213"/>
    <s v="ORD214"/>
    <x v="5"/>
    <x v="27"/>
    <x v="1"/>
    <n v="3301"/>
    <n v="21"/>
    <n v="69321"/>
  </r>
  <r>
    <x v="214"/>
    <s v="ORD215"/>
    <x v="1"/>
    <x v="9"/>
    <x v="3"/>
    <n v="20078"/>
    <n v="8"/>
    <n v="160624"/>
  </r>
  <r>
    <x v="215"/>
    <s v="ORD216"/>
    <x v="3"/>
    <x v="15"/>
    <x v="3"/>
    <n v="3328"/>
    <n v="10"/>
    <n v="33280"/>
  </r>
  <r>
    <x v="216"/>
    <s v="ORD217"/>
    <x v="0"/>
    <x v="23"/>
    <x v="2"/>
    <n v="43462"/>
    <n v="12"/>
    <n v="521544"/>
  </r>
  <r>
    <x v="217"/>
    <s v="ORD218"/>
    <x v="4"/>
    <x v="28"/>
    <x v="3"/>
    <n v="9869"/>
    <n v="29"/>
    <n v="286201"/>
  </r>
  <r>
    <x v="218"/>
    <s v="ORD219"/>
    <x v="5"/>
    <x v="18"/>
    <x v="0"/>
    <n v="4768"/>
    <n v="10"/>
    <n v="47680"/>
  </r>
  <r>
    <x v="219"/>
    <s v="ORD220"/>
    <x v="4"/>
    <x v="7"/>
    <x v="1"/>
    <n v="8520"/>
    <n v="11"/>
    <n v="93720"/>
  </r>
  <r>
    <x v="220"/>
    <s v="ORD221"/>
    <x v="4"/>
    <x v="7"/>
    <x v="2"/>
    <n v="8619"/>
    <n v="20"/>
    <n v="172380"/>
  </r>
  <r>
    <x v="221"/>
    <s v="ORD222"/>
    <x v="1"/>
    <x v="13"/>
    <x v="3"/>
    <n v="8090"/>
    <n v="17"/>
    <n v="137530"/>
  </r>
  <r>
    <x v="222"/>
    <s v="ORD223"/>
    <x v="0"/>
    <x v="20"/>
    <x v="2"/>
    <n v="25672"/>
    <n v="7"/>
    <n v="179704"/>
  </r>
  <r>
    <x v="223"/>
    <s v="ORD224"/>
    <x v="3"/>
    <x v="14"/>
    <x v="2"/>
    <n v="4741"/>
    <n v="13"/>
    <n v="61633"/>
  </r>
  <r>
    <x v="224"/>
    <s v="ORD225"/>
    <x v="3"/>
    <x v="10"/>
    <x v="1"/>
    <n v="10596"/>
    <n v="21"/>
    <n v="222516"/>
  </r>
  <r>
    <x v="225"/>
    <s v="ORD226"/>
    <x v="0"/>
    <x v="23"/>
    <x v="3"/>
    <n v="69781"/>
    <n v="4"/>
    <n v="279124"/>
  </r>
  <r>
    <x v="226"/>
    <s v="ORD227"/>
    <x v="1"/>
    <x v="2"/>
    <x v="2"/>
    <n v="9349"/>
    <n v="2"/>
    <n v="18698"/>
  </r>
  <r>
    <x v="227"/>
    <s v="ORD228"/>
    <x v="2"/>
    <x v="3"/>
    <x v="2"/>
    <n v="28650"/>
    <n v="25"/>
    <n v="716250"/>
  </r>
  <r>
    <x v="228"/>
    <s v="ORD229"/>
    <x v="0"/>
    <x v="1"/>
    <x v="2"/>
    <n v="68358"/>
    <n v="28"/>
    <n v="1914024"/>
  </r>
  <r>
    <x v="229"/>
    <s v="ORD230"/>
    <x v="3"/>
    <x v="10"/>
    <x v="2"/>
    <n v="3912"/>
    <n v="30"/>
    <n v="117360"/>
  </r>
  <r>
    <x v="230"/>
    <s v="ORD231"/>
    <x v="2"/>
    <x v="29"/>
    <x v="2"/>
    <n v="7566"/>
    <n v="29"/>
    <n v="219414"/>
  </r>
  <r>
    <x v="231"/>
    <s v="ORD232"/>
    <x v="2"/>
    <x v="5"/>
    <x v="3"/>
    <n v="28855"/>
    <n v="24"/>
    <n v="692520"/>
  </r>
  <r>
    <x v="232"/>
    <s v="ORD233"/>
    <x v="1"/>
    <x v="24"/>
    <x v="3"/>
    <n v="13817"/>
    <n v="20"/>
    <n v="276340"/>
  </r>
  <r>
    <x v="233"/>
    <s v="ORD234"/>
    <x v="2"/>
    <x v="22"/>
    <x v="3"/>
    <n v="24409"/>
    <n v="2"/>
    <n v="48818"/>
  </r>
  <r>
    <x v="234"/>
    <s v="ORD235"/>
    <x v="5"/>
    <x v="25"/>
    <x v="3"/>
    <n v="456"/>
    <n v="1"/>
    <n v="456"/>
  </r>
  <r>
    <x v="235"/>
    <s v="ORD236"/>
    <x v="2"/>
    <x v="3"/>
    <x v="1"/>
    <n v="22773"/>
    <n v="26"/>
    <n v="592098"/>
  </r>
  <r>
    <x v="236"/>
    <s v="ORD237"/>
    <x v="3"/>
    <x v="14"/>
    <x v="1"/>
    <n v="14695"/>
    <n v="29"/>
    <n v="426155"/>
  </r>
  <r>
    <x v="237"/>
    <s v="ORD238"/>
    <x v="5"/>
    <x v="27"/>
    <x v="3"/>
    <n v="2370"/>
    <n v="26"/>
    <n v="61620"/>
  </r>
  <r>
    <x v="238"/>
    <s v="ORD239"/>
    <x v="3"/>
    <x v="6"/>
    <x v="2"/>
    <n v="7921"/>
    <n v="20"/>
    <n v="158420"/>
  </r>
  <r>
    <x v="239"/>
    <s v="ORD240"/>
    <x v="4"/>
    <x v="21"/>
    <x v="1"/>
    <n v="9370"/>
    <n v="8"/>
    <n v="74960"/>
  </r>
  <r>
    <x v="240"/>
    <s v="ORD241"/>
    <x v="0"/>
    <x v="1"/>
    <x v="2"/>
    <n v="59568"/>
    <n v="29"/>
    <n v="1727472"/>
  </r>
  <r>
    <x v="241"/>
    <s v="ORD242"/>
    <x v="1"/>
    <x v="24"/>
    <x v="2"/>
    <n v="6722"/>
    <n v="4"/>
    <n v="26888"/>
  </r>
  <r>
    <x v="242"/>
    <s v="ORD243"/>
    <x v="3"/>
    <x v="6"/>
    <x v="0"/>
    <n v="3390"/>
    <n v="16"/>
    <n v="54240"/>
  </r>
  <r>
    <x v="243"/>
    <s v="ORD244"/>
    <x v="0"/>
    <x v="4"/>
    <x v="1"/>
    <n v="36843"/>
    <n v="19"/>
    <n v="700017"/>
  </r>
  <r>
    <x v="244"/>
    <s v="ORD245"/>
    <x v="2"/>
    <x v="5"/>
    <x v="2"/>
    <n v="10289"/>
    <n v="4"/>
    <n v="41156"/>
  </r>
  <r>
    <x v="245"/>
    <s v="ORD246"/>
    <x v="4"/>
    <x v="28"/>
    <x v="0"/>
    <n v="1837"/>
    <n v="1"/>
    <n v="1837"/>
  </r>
  <r>
    <x v="246"/>
    <s v="ORD247"/>
    <x v="1"/>
    <x v="9"/>
    <x v="0"/>
    <n v="19777"/>
    <n v="9"/>
    <n v="177993"/>
  </r>
  <r>
    <x v="247"/>
    <s v="ORD248"/>
    <x v="2"/>
    <x v="22"/>
    <x v="0"/>
    <n v="16629"/>
    <n v="27"/>
    <n v="448983"/>
  </r>
  <r>
    <x v="248"/>
    <s v="ORD249"/>
    <x v="0"/>
    <x v="1"/>
    <x v="0"/>
    <n v="39960"/>
    <n v="11"/>
    <n v="439560"/>
  </r>
  <r>
    <x v="249"/>
    <s v="ORD250"/>
    <x v="2"/>
    <x v="22"/>
    <x v="1"/>
    <n v="25832"/>
    <n v="8"/>
    <n v="206656"/>
  </r>
  <r>
    <x v="250"/>
    <s v="ORD251"/>
    <x v="0"/>
    <x v="23"/>
    <x v="3"/>
    <n v="23820"/>
    <n v="29"/>
    <n v="690780"/>
  </r>
  <r>
    <x v="251"/>
    <s v="ORD252"/>
    <x v="1"/>
    <x v="13"/>
    <x v="3"/>
    <n v="5729"/>
    <n v="10"/>
    <n v="57290"/>
  </r>
  <r>
    <x v="252"/>
    <s v="ORD253"/>
    <x v="5"/>
    <x v="27"/>
    <x v="3"/>
    <n v="3808"/>
    <n v="22"/>
    <n v="83776"/>
  </r>
  <r>
    <x v="253"/>
    <s v="ORD254"/>
    <x v="2"/>
    <x v="22"/>
    <x v="3"/>
    <n v="18641"/>
    <n v="22"/>
    <n v="410102"/>
  </r>
  <r>
    <x v="254"/>
    <s v="ORD255"/>
    <x v="3"/>
    <x v="6"/>
    <x v="3"/>
    <n v="6415"/>
    <n v="29"/>
    <n v="186035"/>
  </r>
  <r>
    <x v="255"/>
    <s v="ORD256"/>
    <x v="3"/>
    <x v="10"/>
    <x v="1"/>
    <n v="9918"/>
    <n v="4"/>
    <n v="39672"/>
  </r>
  <r>
    <x v="256"/>
    <s v="ORD257"/>
    <x v="0"/>
    <x v="23"/>
    <x v="3"/>
    <n v="40057"/>
    <n v="5"/>
    <n v="200285"/>
  </r>
  <r>
    <x v="257"/>
    <s v="ORD258"/>
    <x v="3"/>
    <x v="6"/>
    <x v="3"/>
    <n v="8600"/>
    <n v="12"/>
    <n v="103200"/>
  </r>
  <r>
    <x v="258"/>
    <s v="ORD259"/>
    <x v="0"/>
    <x v="20"/>
    <x v="2"/>
    <n v="63445"/>
    <n v="20"/>
    <n v="1268900"/>
  </r>
  <r>
    <x v="259"/>
    <s v="ORD260"/>
    <x v="5"/>
    <x v="18"/>
    <x v="0"/>
    <n v="4420"/>
    <n v="25"/>
    <n v="110500"/>
  </r>
  <r>
    <x v="260"/>
    <s v="ORD261"/>
    <x v="2"/>
    <x v="26"/>
    <x v="1"/>
    <n v="5277"/>
    <n v="14"/>
    <n v="73878"/>
  </r>
  <r>
    <x v="261"/>
    <s v="ORD262"/>
    <x v="1"/>
    <x v="24"/>
    <x v="1"/>
    <n v="19376"/>
    <n v="17"/>
    <n v="329392"/>
  </r>
  <r>
    <x v="262"/>
    <s v="ORD263"/>
    <x v="4"/>
    <x v="7"/>
    <x v="3"/>
    <n v="2364"/>
    <n v="11"/>
    <n v="26004"/>
  </r>
  <r>
    <x v="263"/>
    <s v="ORD264"/>
    <x v="1"/>
    <x v="2"/>
    <x v="1"/>
    <n v="18941"/>
    <n v="23"/>
    <n v="435643"/>
  </r>
  <r>
    <x v="264"/>
    <s v="ORD265"/>
    <x v="2"/>
    <x v="26"/>
    <x v="3"/>
    <n v="18200"/>
    <n v="15"/>
    <n v="273000"/>
  </r>
  <r>
    <x v="265"/>
    <s v="ORD266"/>
    <x v="2"/>
    <x v="5"/>
    <x v="2"/>
    <n v="21710"/>
    <n v="2"/>
    <n v="43420"/>
  </r>
  <r>
    <x v="266"/>
    <s v="ORD267"/>
    <x v="5"/>
    <x v="11"/>
    <x v="1"/>
    <n v="4550"/>
    <n v="4"/>
    <n v="18200"/>
  </r>
  <r>
    <x v="267"/>
    <s v="ORD268"/>
    <x v="0"/>
    <x v="1"/>
    <x v="0"/>
    <n v="75876"/>
    <n v="24"/>
    <n v="1821024"/>
  </r>
  <r>
    <x v="268"/>
    <s v="ORD269"/>
    <x v="1"/>
    <x v="24"/>
    <x v="0"/>
    <n v="14197"/>
    <n v="3"/>
    <n v="42591"/>
  </r>
  <r>
    <x v="269"/>
    <s v="ORD270"/>
    <x v="3"/>
    <x v="15"/>
    <x v="2"/>
    <n v="6515"/>
    <n v="2"/>
    <n v="13030"/>
  </r>
  <r>
    <x v="270"/>
    <s v="ORD271"/>
    <x v="1"/>
    <x v="2"/>
    <x v="0"/>
    <n v="23279"/>
    <n v="22"/>
    <n v="512138"/>
  </r>
  <r>
    <x v="271"/>
    <s v="ORD272"/>
    <x v="1"/>
    <x v="13"/>
    <x v="3"/>
    <n v="4022"/>
    <n v="13"/>
    <n v="52286"/>
  </r>
  <r>
    <x v="272"/>
    <s v="ORD273"/>
    <x v="0"/>
    <x v="0"/>
    <x v="1"/>
    <n v="46217"/>
    <n v="14"/>
    <n v="647038"/>
  </r>
  <r>
    <x v="273"/>
    <s v="ORD274"/>
    <x v="2"/>
    <x v="5"/>
    <x v="0"/>
    <n v="16665"/>
    <n v="23"/>
    <n v="383295"/>
  </r>
  <r>
    <x v="274"/>
    <s v="ORD275"/>
    <x v="1"/>
    <x v="9"/>
    <x v="1"/>
    <n v="12811"/>
    <n v="21"/>
    <n v="269031"/>
  </r>
  <r>
    <x v="275"/>
    <s v="ORD276"/>
    <x v="2"/>
    <x v="29"/>
    <x v="1"/>
    <n v="9368"/>
    <n v="24"/>
    <n v="224832"/>
  </r>
  <r>
    <x v="276"/>
    <s v="ORD277"/>
    <x v="1"/>
    <x v="9"/>
    <x v="0"/>
    <n v="6404"/>
    <n v="7"/>
    <n v="44828"/>
  </r>
  <r>
    <x v="277"/>
    <s v="ORD278"/>
    <x v="4"/>
    <x v="28"/>
    <x v="0"/>
    <n v="6020"/>
    <n v="11"/>
    <n v="66220"/>
  </r>
  <r>
    <x v="278"/>
    <s v="ORD279"/>
    <x v="5"/>
    <x v="18"/>
    <x v="3"/>
    <n v="2150"/>
    <n v="4"/>
    <n v="8600"/>
  </r>
  <r>
    <x v="279"/>
    <s v="ORD280"/>
    <x v="5"/>
    <x v="18"/>
    <x v="2"/>
    <n v="1285"/>
    <n v="12"/>
    <n v="15420"/>
  </r>
  <r>
    <x v="280"/>
    <s v="ORD281"/>
    <x v="4"/>
    <x v="19"/>
    <x v="0"/>
    <n v="8805"/>
    <n v="26"/>
    <n v="228930"/>
  </r>
  <r>
    <x v="281"/>
    <s v="ORD282"/>
    <x v="0"/>
    <x v="0"/>
    <x v="3"/>
    <n v="65735"/>
    <n v="6"/>
    <n v="394410"/>
  </r>
  <r>
    <x v="282"/>
    <s v="ORD283"/>
    <x v="2"/>
    <x v="3"/>
    <x v="3"/>
    <n v="23324"/>
    <n v="8"/>
    <n v="186592"/>
  </r>
  <r>
    <x v="283"/>
    <s v="ORD284"/>
    <x v="0"/>
    <x v="23"/>
    <x v="0"/>
    <n v="46140"/>
    <n v="3"/>
    <n v="138420"/>
  </r>
  <r>
    <x v="284"/>
    <s v="ORD285"/>
    <x v="0"/>
    <x v="23"/>
    <x v="1"/>
    <n v="34669"/>
    <n v="22"/>
    <n v="762718"/>
  </r>
  <r>
    <x v="285"/>
    <s v="ORD286"/>
    <x v="2"/>
    <x v="22"/>
    <x v="3"/>
    <n v="28446"/>
    <n v="21"/>
    <n v="597366"/>
  </r>
  <r>
    <x v="286"/>
    <s v="ORD287"/>
    <x v="5"/>
    <x v="25"/>
    <x v="0"/>
    <n v="1907"/>
    <n v="16"/>
    <n v="30512"/>
  </r>
  <r>
    <x v="287"/>
    <s v="ORD288"/>
    <x v="4"/>
    <x v="28"/>
    <x v="0"/>
    <n v="7303"/>
    <n v="22"/>
    <n v="160666"/>
  </r>
  <r>
    <x v="288"/>
    <s v="ORD289"/>
    <x v="1"/>
    <x v="9"/>
    <x v="3"/>
    <n v="15690"/>
    <n v="5"/>
    <n v="78450"/>
  </r>
  <r>
    <x v="289"/>
    <s v="ORD290"/>
    <x v="4"/>
    <x v="7"/>
    <x v="1"/>
    <n v="5825"/>
    <n v="8"/>
    <n v="46600"/>
  </r>
  <r>
    <x v="290"/>
    <s v="ORD291"/>
    <x v="1"/>
    <x v="2"/>
    <x v="2"/>
    <n v="21501"/>
    <n v="6"/>
    <n v="129006"/>
  </r>
  <r>
    <x v="291"/>
    <s v="ORD292"/>
    <x v="3"/>
    <x v="15"/>
    <x v="2"/>
    <n v="4758"/>
    <n v="1"/>
    <n v="4758"/>
  </r>
  <r>
    <x v="292"/>
    <s v="ORD293"/>
    <x v="2"/>
    <x v="22"/>
    <x v="3"/>
    <n v="15809"/>
    <n v="24"/>
    <n v="379416"/>
  </r>
  <r>
    <x v="293"/>
    <s v="ORD294"/>
    <x v="0"/>
    <x v="4"/>
    <x v="3"/>
    <n v="39827"/>
    <n v="11"/>
    <n v="438097"/>
  </r>
  <r>
    <x v="294"/>
    <s v="ORD295"/>
    <x v="1"/>
    <x v="13"/>
    <x v="1"/>
    <n v="17137"/>
    <n v="18"/>
    <n v="308466"/>
  </r>
  <r>
    <x v="295"/>
    <s v="ORD296"/>
    <x v="1"/>
    <x v="17"/>
    <x v="2"/>
    <n v="3449"/>
    <n v="2"/>
    <n v="6898"/>
  </r>
  <r>
    <x v="296"/>
    <s v="ORD297"/>
    <x v="4"/>
    <x v="28"/>
    <x v="3"/>
    <n v="6014"/>
    <n v="10"/>
    <n v="60140"/>
  </r>
  <r>
    <x v="297"/>
    <s v="ORD298"/>
    <x v="1"/>
    <x v="2"/>
    <x v="3"/>
    <n v="12705"/>
    <n v="14"/>
    <n v="177870"/>
  </r>
  <r>
    <x v="298"/>
    <s v="ORD299"/>
    <x v="4"/>
    <x v="28"/>
    <x v="2"/>
    <n v="8992"/>
    <n v="10"/>
    <n v="89920"/>
  </r>
  <r>
    <x v="299"/>
    <s v="ORD300"/>
    <x v="0"/>
    <x v="20"/>
    <x v="1"/>
    <n v="44907"/>
    <n v="20"/>
    <n v="898140"/>
  </r>
  <r>
    <x v="300"/>
    <s v="ORD301"/>
    <x v="4"/>
    <x v="7"/>
    <x v="0"/>
    <n v="6156"/>
    <n v="1"/>
    <n v="6156"/>
  </r>
  <r>
    <x v="301"/>
    <s v="ORD302"/>
    <x v="4"/>
    <x v="19"/>
    <x v="3"/>
    <n v="6538"/>
    <n v="26"/>
    <n v="169988"/>
  </r>
  <r>
    <x v="302"/>
    <s v="ORD303"/>
    <x v="3"/>
    <x v="15"/>
    <x v="1"/>
    <n v="4454"/>
    <n v="1"/>
    <n v="4454"/>
  </r>
  <r>
    <x v="303"/>
    <s v="ORD304"/>
    <x v="4"/>
    <x v="21"/>
    <x v="1"/>
    <n v="9610"/>
    <n v="11"/>
    <n v="105710"/>
  </r>
  <r>
    <x v="304"/>
    <s v="ORD305"/>
    <x v="1"/>
    <x v="24"/>
    <x v="2"/>
    <n v="6738"/>
    <n v="11"/>
    <n v="74118"/>
  </r>
  <r>
    <x v="305"/>
    <s v="ORD306"/>
    <x v="5"/>
    <x v="25"/>
    <x v="0"/>
    <n v="1334"/>
    <n v="12"/>
    <n v="16008"/>
  </r>
  <r>
    <x v="306"/>
    <s v="ORD307"/>
    <x v="3"/>
    <x v="8"/>
    <x v="0"/>
    <n v="7661"/>
    <n v="21"/>
    <n v="160881"/>
  </r>
  <r>
    <x v="307"/>
    <s v="ORD308"/>
    <x v="2"/>
    <x v="29"/>
    <x v="0"/>
    <n v="9664"/>
    <n v="23"/>
    <n v="222272"/>
  </r>
  <r>
    <x v="308"/>
    <s v="ORD309"/>
    <x v="1"/>
    <x v="24"/>
    <x v="1"/>
    <n v="24366"/>
    <n v="12"/>
    <n v="292392"/>
  </r>
  <r>
    <x v="309"/>
    <s v="ORD310"/>
    <x v="5"/>
    <x v="16"/>
    <x v="2"/>
    <n v="1720"/>
    <n v="10"/>
    <n v="17200"/>
  </r>
  <r>
    <x v="310"/>
    <s v="ORD311"/>
    <x v="4"/>
    <x v="7"/>
    <x v="2"/>
    <n v="6270"/>
    <n v="2"/>
    <n v="12540"/>
  </r>
  <r>
    <x v="311"/>
    <s v="ORD312"/>
    <x v="3"/>
    <x v="8"/>
    <x v="3"/>
    <n v="11478"/>
    <n v="3"/>
    <n v="34434"/>
  </r>
  <r>
    <x v="312"/>
    <s v="ORD313"/>
    <x v="2"/>
    <x v="22"/>
    <x v="2"/>
    <n v="8779"/>
    <n v="2"/>
    <n v="17558"/>
  </r>
  <r>
    <x v="313"/>
    <s v="ORD314"/>
    <x v="3"/>
    <x v="6"/>
    <x v="1"/>
    <n v="2327"/>
    <n v="24"/>
    <n v="55848"/>
  </r>
  <r>
    <x v="314"/>
    <s v="ORD315"/>
    <x v="0"/>
    <x v="4"/>
    <x v="3"/>
    <n v="36919"/>
    <n v="30"/>
    <n v="1107570"/>
  </r>
  <r>
    <x v="315"/>
    <s v="ORD316"/>
    <x v="2"/>
    <x v="3"/>
    <x v="0"/>
    <n v="10265"/>
    <n v="11"/>
    <n v="112915"/>
  </r>
  <r>
    <x v="316"/>
    <s v="ORD317"/>
    <x v="3"/>
    <x v="15"/>
    <x v="3"/>
    <n v="7237"/>
    <n v="15"/>
    <n v="108555"/>
  </r>
  <r>
    <x v="317"/>
    <s v="ORD318"/>
    <x v="5"/>
    <x v="25"/>
    <x v="0"/>
    <n v="2435"/>
    <n v="24"/>
    <n v="58440"/>
  </r>
  <r>
    <x v="318"/>
    <s v="ORD319"/>
    <x v="4"/>
    <x v="28"/>
    <x v="1"/>
    <n v="8728"/>
    <n v="21"/>
    <n v="183288"/>
  </r>
  <r>
    <x v="319"/>
    <s v="ORD320"/>
    <x v="0"/>
    <x v="4"/>
    <x v="3"/>
    <n v="66828"/>
    <n v="29"/>
    <n v="1938012"/>
  </r>
  <r>
    <x v="320"/>
    <s v="ORD321"/>
    <x v="4"/>
    <x v="21"/>
    <x v="1"/>
    <n v="7701"/>
    <n v="29"/>
    <n v="223329"/>
  </r>
  <r>
    <x v="321"/>
    <s v="ORD322"/>
    <x v="0"/>
    <x v="4"/>
    <x v="1"/>
    <n v="56285"/>
    <n v="7"/>
    <n v="393995"/>
  </r>
  <r>
    <x v="322"/>
    <s v="ORD323"/>
    <x v="1"/>
    <x v="24"/>
    <x v="1"/>
    <n v="14257"/>
    <n v="18"/>
    <n v="256626"/>
  </r>
  <r>
    <x v="323"/>
    <s v="ORD324"/>
    <x v="5"/>
    <x v="11"/>
    <x v="2"/>
    <n v="2801"/>
    <n v="23"/>
    <n v="64423"/>
  </r>
  <r>
    <x v="324"/>
    <s v="ORD325"/>
    <x v="3"/>
    <x v="15"/>
    <x v="0"/>
    <n v="12046"/>
    <n v="23"/>
    <n v="277058"/>
  </r>
  <r>
    <x v="325"/>
    <s v="ORD326"/>
    <x v="0"/>
    <x v="4"/>
    <x v="3"/>
    <n v="27613"/>
    <n v="25"/>
    <n v="690325"/>
  </r>
  <r>
    <x v="326"/>
    <s v="ORD327"/>
    <x v="5"/>
    <x v="16"/>
    <x v="1"/>
    <n v="1871"/>
    <n v="10"/>
    <n v="18710"/>
  </r>
  <r>
    <x v="327"/>
    <s v="ORD328"/>
    <x v="1"/>
    <x v="17"/>
    <x v="2"/>
    <n v="12631"/>
    <n v="1"/>
    <n v="12631"/>
  </r>
  <r>
    <x v="328"/>
    <s v="ORD329"/>
    <x v="4"/>
    <x v="21"/>
    <x v="2"/>
    <n v="7471"/>
    <n v="9"/>
    <n v="67239"/>
  </r>
  <r>
    <x v="329"/>
    <s v="ORD330"/>
    <x v="1"/>
    <x v="2"/>
    <x v="3"/>
    <n v="17970"/>
    <n v="26"/>
    <n v="467220"/>
  </r>
  <r>
    <x v="330"/>
    <s v="ORD331"/>
    <x v="2"/>
    <x v="26"/>
    <x v="3"/>
    <n v="17086"/>
    <n v="26"/>
    <n v="444236"/>
  </r>
  <r>
    <x v="331"/>
    <s v="ORD332"/>
    <x v="1"/>
    <x v="24"/>
    <x v="2"/>
    <n v="6614"/>
    <n v="30"/>
    <n v="198420"/>
  </r>
  <r>
    <x v="332"/>
    <s v="ORD333"/>
    <x v="0"/>
    <x v="4"/>
    <x v="1"/>
    <n v="23522"/>
    <n v="1"/>
    <n v="23522"/>
  </r>
  <r>
    <x v="333"/>
    <s v="ORD334"/>
    <x v="1"/>
    <x v="24"/>
    <x v="2"/>
    <n v="24386"/>
    <n v="20"/>
    <n v="487720"/>
  </r>
  <r>
    <x v="334"/>
    <s v="ORD335"/>
    <x v="5"/>
    <x v="27"/>
    <x v="2"/>
    <n v="364"/>
    <n v="10"/>
    <n v="3640"/>
  </r>
  <r>
    <x v="335"/>
    <s v="ORD336"/>
    <x v="4"/>
    <x v="7"/>
    <x v="1"/>
    <n v="4853"/>
    <n v="14"/>
    <n v="67942"/>
  </r>
  <r>
    <x v="336"/>
    <s v="ORD337"/>
    <x v="0"/>
    <x v="1"/>
    <x v="1"/>
    <n v="32331"/>
    <n v="5"/>
    <n v="161655"/>
  </r>
  <r>
    <x v="337"/>
    <s v="ORD338"/>
    <x v="1"/>
    <x v="17"/>
    <x v="1"/>
    <n v="4074"/>
    <n v="25"/>
    <n v="101850"/>
  </r>
  <r>
    <x v="338"/>
    <s v="ORD339"/>
    <x v="0"/>
    <x v="23"/>
    <x v="1"/>
    <n v="75723"/>
    <n v="10"/>
    <n v="757230"/>
  </r>
  <r>
    <x v="339"/>
    <s v="ORD340"/>
    <x v="5"/>
    <x v="18"/>
    <x v="0"/>
    <n v="1720"/>
    <n v="25"/>
    <n v="43000"/>
  </r>
  <r>
    <x v="340"/>
    <s v="ORD341"/>
    <x v="0"/>
    <x v="0"/>
    <x v="2"/>
    <n v="21809"/>
    <n v="19"/>
    <n v="414371"/>
  </r>
  <r>
    <x v="341"/>
    <s v="ORD342"/>
    <x v="2"/>
    <x v="22"/>
    <x v="0"/>
    <n v="8845"/>
    <n v="10"/>
    <n v="88450"/>
  </r>
  <r>
    <x v="342"/>
    <s v="ORD343"/>
    <x v="4"/>
    <x v="28"/>
    <x v="2"/>
    <n v="769"/>
    <n v="14"/>
    <n v="10766"/>
  </r>
  <r>
    <x v="343"/>
    <s v="ORD344"/>
    <x v="5"/>
    <x v="25"/>
    <x v="1"/>
    <n v="3950"/>
    <n v="7"/>
    <n v="27650"/>
  </r>
  <r>
    <x v="344"/>
    <s v="ORD345"/>
    <x v="5"/>
    <x v="16"/>
    <x v="0"/>
    <n v="2616"/>
    <n v="13"/>
    <n v="34008"/>
  </r>
  <r>
    <x v="345"/>
    <s v="ORD346"/>
    <x v="2"/>
    <x v="5"/>
    <x v="1"/>
    <n v="27685"/>
    <n v="13"/>
    <n v="359905"/>
  </r>
  <r>
    <x v="346"/>
    <s v="ORD347"/>
    <x v="4"/>
    <x v="7"/>
    <x v="2"/>
    <n v="3650"/>
    <n v="28"/>
    <n v="102200"/>
  </r>
  <r>
    <x v="347"/>
    <s v="ORD348"/>
    <x v="3"/>
    <x v="15"/>
    <x v="0"/>
    <n v="13007"/>
    <n v="13"/>
    <n v="169091"/>
  </r>
  <r>
    <x v="348"/>
    <s v="ORD349"/>
    <x v="5"/>
    <x v="25"/>
    <x v="0"/>
    <n v="3053"/>
    <n v="23"/>
    <n v="70219"/>
  </r>
  <r>
    <x v="349"/>
    <s v="ORD350"/>
    <x v="3"/>
    <x v="15"/>
    <x v="1"/>
    <n v="14732"/>
    <n v="20"/>
    <n v="294640"/>
  </r>
  <r>
    <x v="350"/>
    <s v="ORD351"/>
    <x v="1"/>
    <x v="24"/>
    <x v="2"/>
    <n v="14122"/>
    <n v="3"/>
    <n v="42366"/>
  </r>
  <r>
    <x v="351"/>
    <s v="ORD352"/>
    <x v="5"/>
    <x v="25"/>
    <x v="1"/>
    <n v="2292"/>
    <n v="24"/>
    <n v="55008"/>
  </r>
  <r>
    <x v="352"/>
    <s v="ORD353"/>
    <x v="3"/>
    <x v="10"/>
    <x v="0"/>
    <n v="2339"/>
    <n v="4"/>
    <n v="9356"/>
  </r>
  <r>
    <x v="353"/>
    <s v="ORD354"/>
    <x v="2"/>
    <x v="22"/>
    <x v="0"/>
    <n v="22042"/>
    <n v="25"/>
    <n v="551050"/>
  </r>
  <r>
    <x v="354"/>
    <s v="ORD355"/>
    <x v="1"/>
    <x v="24"/>
    <x v="0"/>
    <n v="21845"/>
    <n v="19"/>
    <n v="415055"/>
  </r>
  <r>
    <x v="355"/>
    <s v="ORD356"/>
    <x v="5"/>
    <x v="18"/>
    <x v="2"/>
    <n v="1284"/>
    <n v="14"/>
    <n v="17976"/>
  </r>
  <r>
    <x v="356"/>
    <s v="ORD357"/>
    <x v="0"/>
    <x v="20"/>
    <x v="0"/>
    <n v="24157"/>
    <n v="13"/>
    <n v="314041"/>
  </r>
  <r>
    <x v="357"/>
    <s v="ORD358"/>
    <x v="2"/>
    <x v="26"/>
    <x v="0"/>
    <n v="17675"/>
    <n v="26"/>
    <n v="459550"/>
  </r>
  <r>
    <x v="358"/>
    <s v="ORD359"/>
    <x v="5"/>
    <x v="11"/>
    <x v="3"/>
    <n v="1146"/>
    <n v="29"/>
    <n v="33234"/>
  </r>
  <r>
    <x v="359"/>
    <s v="ORD360"/>
    <x v="4"/>
    <x v="7"/>
    <x v="3"/>
    <n v="8939"/>
    <n v="21"/>
    <n v="187719"/>
  </r>
  <r>
    <x v="360"/>
    <s v="ORD361"/>
    <x v="3"/>
    <x v="8"/>
    <x v="2"/>
    <n v="9411"/>
    <n v="12"/>
    <n v="112932"/>
  </r>
  <r>
    <x v="361"/>
    <s v="ORD362"/>
    <x v="1"/>
    <x v="17"/>
    <x v="0"/>
    <n v="4377"/>
    <n v="13"/>
    <n v="56901"/>
  </r>
  <r>
    <x v="362"/>
    <s v="ORD363"/>
    <x v="5"/>
    <x v="16"/>
    <x v="0"/>
    <n v="3953"/>
    <n v="23"/>
    <n v="90919"/>
  </r>
  <r>
    <x v="363"/>
    <s v="ORD364"/>
    <x v="0"/>
    <x v="0"/>
    <x v="2"/>
    <n v="62618"/>
    <n v="27"/>
    <n v="1690686"/>
  </r>
  <r>
    <x v="364"/>
    <s v="ORD365"/>
    <x v="5"/>
    <x v="25"/>
    <x v="1"/>
    <n v="2325"/>
    <n v="12"/>
    <n v="2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98B73-B9E9-4A4A-B7E7-B5980FA810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1:B6" firstHeaderRow="1" firstDataRow="1" firstDataCol="1"/>
  <pivotFields count="10">
    <pivotField axis="axisRow" numFmtId="15" showAll="0">
      <items count="366">
        <item x="0"/>
        <item x="1"/>
        <item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t="default"/>
      </items>
    </pivotField>
    <pivotField showAll="0"/>
    <pivotField showAll="0"/>
    <pivotField showAll="0">
      <items count="31">
        <item x="3"/>
        <item x="2"/>
        <item x="5"/>
        <item x="26"/>
        <item x="21"/>
        <item x="29"/>
        <item x="15"/>
        <item x="13"/>
        <item x="11"/>
        <item x="9"/>
        <item x="1"/>
        <item x="8"/>
        <item x="10"/>
        <item x="12"/>
        <item x="0"/>
        <item x="27"/>
        <item x="16"/>
        <item x="25"/>
        <item x="7"/>
        <item x="6"/>
        <item x="20"/>
        <item x="23"/>
        <item x="19"/>
        <item x="22"/>
        <item x="18"/>
        <item x="4"/>
        <item x="28"/>
        <item x="17"/>
        <item x="14"/>
        <item x="24"/>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5">
    <i>
      <x/>
    </i>
    <i>
      <x v="1"/>
    </i>
    <i>
      <x v="2"/>
    </i>
    <i>
      <x v="3"/>
    </i>
    <i t="grand">
      <x/>
    </i>
  </rowItems>
  <colItems count="1">
    <i/>
  </colItems>
  <dataFields count="1">
    <dataField name="Sum of Sales Amount" fld="7"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F6E537-B441-4719-B869-B3F068F9B1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H7" firstHeaderRow="1" firstDataRow="1" firstDataCol="1"/>
  <pivotFields count="10">
    <pivotField numFmtId="1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measureFilter="1" sortType="descending">
      <items count="31">
        <item x="24"/>
        <item x="14"/>
        <item x="17"/>
        <item x="28"/>
        <item x="4"/>
        <item x="18"/>
        <item x="22"/>
        <item x="19"/>
        <item x="23"/>
        <item x="20"/>
        <item x="6"/>
        <item x="7"/>
        <item x="25"/>
        <item x="16"/>
        <item x="27"/>
        <item x="0"/>
        <item x="12"/>
        <item x="10"/>
        <item x="8"/>
        <item x="1"/>
        <item x="9"/>
        <item x="11"/>
        <item x="13"/>
        <item x="15"/>
        <item x="29"/>
        <item x="21"/>
        <item x="26"/>
        <item x="5"/>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27"/>
    </i>
    <i>
      <x v="28"/>
    </i>
    <i>
      <x v="11"/>
    </i>
    <i>
      <x v="4"/>
    </i>
    <i>
      <x v="12"/>
    </i>
    <i t="grand">
      <x/>
    </i>
  </rowItems>
  <colItems count="1">
    <i/>
  </colItems>
  <dataFields count="1">
    <dataField name="Sum of Quantity Sold" fld="6" baseField="0" baseItem="0"/>
  </dataFields>
  <chartFormats count="37">
    <chartFormat chart="2" format="0" series="1">
      <pivotArea type="data" outline="0" fieldPosition="0">
        <references count="1">
          <reference field="4294967294" count="1" selected="0">
            <x v="0"/>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3" count="1" selected="0">
            <x v="27"/>
          </reference>
        </references>
      </pivotArea>
    </chartFormat>
    <chartFormat chart="4" format="34">
      <pivotArea type="data" outline="0" fieldPosition="0">
        <references count="2">
          <reference field="4294967294" count="1" selected="0">
            <x v="0"/>
          </reference>
          <reference field="3" count="1" selected="0">
            <x v="28"/>
          </reference>
        </references>
      </pivotArea>
    </chartFormat>
    <chartFormat chart="4" format="35">
      <pivotArea type="data" outline="0" fieldPosition="0">
        <references count="2">
          <reference field="4294967294" count="1" selected="0">
            <x v="0"/>
          </reference>
          <reference field="3" count="1" selected="0">
            <x v="11"/>
          </reference>
        </references>
      </pivotArea>
    </chartFormat>
    <chartFormat chart="4" format="36">
      <pivotArea type="data" outline="0" fieldPosition="0">
        <references count="2">
          <reference field="4294967294" count="1" selected="0">
            <x v="0"/>
          </reference>
          <reference field="3" count="1" selected="0">
            <x v="4"/>
          </reference>
        </references>
      </pivotArea>
    </chartFormat>
    <chartFormat chart="4" format="37">
      <pivotArea type="data" outline="0" fieldPosition="0">
        <references count="2">
          <reference field="4294967294" count="1" selected="0">
            <x v="0"/>
          </reference>
          <reference field="3" count="1" selected="0">
            <x v="12"/>
          </reference>
        </references>
      </pivotArea>
    </chartFormat>
    <chartFormat chart="4" format="38">
      <pivotArea type="data" outline="0" fieldPosition="0">
        <references count="2">
          <reference field="4294967294" count="1" selected="0">
            <x v="0"/>
          </reference>
          <reference field="3" count="1" selected="0">
            <x v="22"/>
          </reference>
        </references>
      </pivotArea>
    </chartFormat>
    <chartFormat chart="4" format="39">
      <pivotArea type="data" outline="0" fieldPosition="0">
        <references count="2">
          <reference field="4294967294" count="1" selected="0">
            <x v="0"/>
          </reference>
          <reference field="3" count="1" selected="0">
            <x v="1"/>
          </reference>
        </references>
      </pivotArea>
    </chartFormat>
    <chartFormat chart="4" format="40">
      <pivotArea type="data" outline="0" fieldPosition="0">
        <references count="2">
          <reference field="4294967294" count="1" selected="0">
            <x v="0"/>
          </reference>
          <reference field="3" count="1" selected="0">
            <x v="3"/>
          </reference>
        </references>
      </pivotArea>
    </chartFormat>
    <chartFormat chart="4" format="41">
      <pivotArea type="data" outline="0" fieldPosition="0">
        <references count="2">
          <reference field="4294967294" count="1" selected="0">
            <x v="0"/>
          </reference>
          <reference field="3" count="1" selected="0">
            <x v="0"/>
          </reference>
        </references>
      </pivotArea>
    </chartFormat>
    <chartFormat chart="4" format="42">
      <pivotArea type="data" outline="0" fieldPosition="0">
        <references count="2">
          <reference field="4294967294" count="1" selected="0">
            <x v="0"/>
          </reference>
          <reference field="3" count="1" selected="0">
            <x v="10"/>
          </reference>
        </references>
      </pivotArea>
    </chartFormat>
    <chartFormat chart="4" format="43">
      <pivotArea type="data" outline="0" fieldPosition="0">
        <references count="2">
          <reference field="4294967294" count="1" selected="0">
            <x v="0"/>
          </reference>
          <reference field="3" count="1" selected="0">
            <x v="6"/>
          </reference>
        </references>
      </pivotArea>
    </chartFormat>
    <chartFormat chart="4" format="44">
      <pivotArea type="data" outline="0" fieldPosition="0">
        <references count="2">
          <reference field="4294967294" count="1" selected="0">
            <x v="0"/>
          </reference>
          <reference field="3" count="1" selected="0">
            <x v="23"/>
          </reference>
        </references>
      </pivotArea>
    </chartFormat>
    <chartFormat chart="4" format="45">
      <pivotArea type="data" outline="0" fieldPosition="0">
        <references count="2">
          <reference field="4294967294" count="1" selected="0">
            <x v="0"/>
          </reference>
          <reference field="3" count="1" selected="0">
            <x v="15"/>
          </reference>
        </references>
      </pivotArea>
    </chartFormat>
    <chartFormat chart="4" format="46">
      <pivotArea type="data" outline="0" fieldPosition="0">
        <references count="2">
          <reference field="4294967294" count="1" selected="0">
            <x v="0"/>
          </reference>
          <reference field="3" count="1" selected="0">
            <x v="26"/>
          </reference>
        </references>
      </pivotArea>
    </chartFormat>
    <chartFormat chart="4" format="47">
      <pivotArea type="data" outline="0" fieldPosition="0">
        <references count="2">
          <reference field="4294967294" count="1" selected="0">
            <x v="0"/>
          </reference>
          <reference field="3" count="1" selected="0">
            <x v="29"/>
          </reference>
        </references>
      </pivotArea>
    </chartFormat>
    <chartFormat chart="4" format="48">
      <pivotArea type="data" outline="0" fieldPosition="0">
        <references count="2">
          <reference field="4294967294" count="1" selected="0">
            <x v="0"/>
          </reference>
          <reference field="3" count="1" selected="0">
            <x v="19"/>
          </reference>
        </references>
      </pivotArea>
    </chartFormat>
    <chartFormat chart="4" format="49">
      <pivotArea type="data" outline="0" fieldPosition="0">
        <references count="2">
          <reference field="4294967294" count="1" selected="0">
            <x v="0"/>
          </reference>
          <reference field="3" count="1" selected="0">
            <x v="2"/>
          </reference>
        </references>
      </pivotArea>
    </chartFormat>
    <chartFormat chart="4" format="50">
      <pivotArea type="data" outline="0" fieldPosition="0">
        <references count="2">
          <reference field="4294967294" count="1" selected="0">
            <x v="0"/>
          </reference>
          <reference field="3" count="1" selected="0">
            <x v="20"/>
          </reference>
        </references>
      </pivotArea>
    </chartFormat>
    <chartFormat chart="4" format="51">
      <pivotArea type="data" outline="0" fieldPosition="0">
        <references count="2">
          <reference field="4294967294" count="1" selected="0">
            <x v="0"/>
          </reference>
          <reference field="3" count="1" selected="0">
            <x v="13"/>
          </reference>
        </references>
      </pivotArea>
    </chartFormat>
    <chartFormat chart="4" format="52">
      <pivotArea type="data" outline="0" fieldPosition="0">
        <references count="2">
          <reference field="4294967294" count="1" selected="0">
            <x v="0"/>
          </reference>
          <reference field="3" count="1" selected="0">
            <x v="8"/>
          </reference>
        </references>
      </pivotArea>
    </chartFormat>
    <chartFormat chart="4" format="53">
      <pivotArea type="data" outline="0" fieldPosition="0">
        <references count="2">
          <reference field="4294967294" count="1" selected="0">
            <x v="0"/>
          </reference>
          <reference field="3" count="1" selected="0">
            <x v="25"/>
          </reference>
        </references>
      </pivotArea>
    </chartFormat>
    <chartFormat chart="4" format="54">
      <pivotArea type="data" outline="0" fieldPosition="0">
        <references count="2">
          <reference field="4294967294" count="1" selected="0">
            <x v="0"/>
          </reference>
          <reference field="3" count="1" selected="0">
            <x v="5"/>
          </reference>
        </references>
      </pivotArea>
    </chartFormat>
    <chartFormat chart="4" format="55">
      <pivotArea type="data" outline="0" fieldPosition="0">
        <references count="2">
          <reference field="4294967294" count="1" selected="0">
            <x v="0"/>
          </reference>
          <reference field="3" count="1" selected="0">
            <x v="7"/>
          </reference>
        </references>
      </pivotArea>
    </chartFormat>
    <chartFormat chart="4" format="56">
      <pivotArea type="data" outline="0" fieldPosition="0">
        <references count="2">
          <reference field="4294967294" count="1" selected="0">
            <x v="0"/>
          </reference>
          <reference field="3" count="1" selected="0">
            <x v="18"/>
          </reference>
        </references>
      </pivotArea>
    </chartFormat>
    <chartFormat chart="4" format="57">
      <pivotArea type="data" outline="0" fieldPosition="0">
        <references count="2">
          <reference field="4294967294" count="1" selected="0">
            <x v="0"/>
          </reference>
          <reference field="3" count="1" selected="0">
            <x v="9"/>
          </reference>
        </references>
      </pivotArea>
    </chartFormat>
    <chartFormat chart="4" format="58">
      <pivotArea type="data" outline="0" fieldPosition="0">
        <references count="2">
          <reference field="4294967294" count="1" selected="0">
            <x v="0"/>
          </reference>
          <reference field="3" count="1" selected="0">
            <x v="21"/>
          </reference>
        </references>
      </pivotArea>
    </chartFormat>
    <chartFormat chart="4" format="59">
      <pivotArea type="data" outline="0" fieldPosition="0">
        <references count="2">
          <reference field="4294967294" count="1" selected="0">
            <x v="0"/>
          </reference>
          <reference field="3" count="1" selected="0">
            <x v="14"/>
          </reference>
        </references>
      </pivotArea>
    </chartFormat>
    <chartFormat chart="4" format="60">
      <pivotArea type="data" outline="0" fieldPosition="0">
        <references count="2">
          <reference field="4294967294" count="1" selected="0">
            <x v="0"/>
          </reference>
          <reference field="3" count="1" selected="0">
            <x v="17"/>
          </reference>
        </references>
      </pivotArea>
    </chartFormat>
    <chartFormat chart="4" format="61">
      <pivotArea type="data" outline="0" fieldPosition="0">
        <references count="2">
          <reference field="4294967294" count="1" selected="0">
            <x v="0"/>
          </reference>
          <reference field="3" count="1" selected="0">
            <x v="24"/>
          </reference>
        </references>
      </pivotArea>
    </chartFormat>
    <chartFormat chart="4" format="62">
      <pivotArea type="data" outline="0" fieldPosition="0">
        <references count="2">
          <reference field="4294967294" count="1" selected="0">
            <x v="0"/>
          </reference>
          <reference field="3" count="1" selected="0">
            <x v="16"/>
          </reference>
        </references>
      </pivotArea>
    </chartFormat>
    <chartFormat chart="2" format="1">
      <pivotArea type="data" outline="0" fieldPosition="0">
        <references count="2">
          <reference field="4294967294" count="1" selected="0">
            <x v="0"/>
          </reference>
          <reference field="3" count="1" selected="0">
            <x v="27"/>
          </reference>
        </references>
      </pivotArea>
    </chartFormat>
    <chartFormat chart="2" format="2">
      <pivotArea type="data" outline="0" fieldPosition="0">
        <references count="2">
          <reference field="4294967294" count="1" selected="0">
            <x v="0"/>
          </reference>
          <reference field="3" count="1" selected="0">
            <x v="28"/>
          </reference>
        </references>
      </pivotArea>
    </chartFormat>
    <chartFormat chart="2" format="3">
      <pivotArea type="data" outline="0" fieldPosition="0">
        <references count="2">
          <reference field="4294967294" count="1" selected="0">
            <x v="0"/>
          </reference>
          <reference field="3" count="1" selected="0">
            <x v="11"/>
          </reference>
        </references>
      </pivotArea>
    </chartFormat>
    <chartFormat chart="2" format="4">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D44476-60E8-4EF4-A4A5-6705ED4864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3" firstHeaderRow="1" firstDataRow="1" firstDataCol="1"/>
  <pivotFields count="10">
    <pivotField numFmtId="1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7">
        <item x="3"/>
        <item x="0"/>
        <item x="4"/>
        <item h="1" x="2"/>
        <item x="1"/>
        <item x="5"/>
        <item t="default"/>
      </items>
    </pivotField>
    <pivotField showAll="0"/>
    <pivotField axis="axisRow" showAll="0">
      <items count="5">
        <item x="0"/>
        <item h="1" x="3"/>
        <item h="1" x="2"/>
        <item h="1" x="1"/>
        <item t="default"/>
      </items>
    </pivotField>
    <pivotField showAll="0"/>
    <pivotField showAll="0"/>
    <pivotField dataField="1" showAll="0"/>
    <pivotField showAll="0" defaultSubtotal="0"/>
    <pivotField showAll="0" defaultSubtotal="0">
      <items count="14">
        <item h="1" x="0"/>
        <item h="1" x="1"/>
        <item h="1" x="2"/>
        <item h="1" x="3"/>
        <item h="1" x="4"/>
        <item h="1" x="5"/>
        <item h="1" x="6"/>
        <item h="1" x="7"/>
        <item x="8"/>
        <item h="1" x="9"/>
        <item h="1" x="10"/>
        <item h="1" x="11"/>
        <item h="1" x="12"/>
        <item h="1" x="13"/>
      </items>
    </pivotField>
  </pivotFields>
  <rowFields count="1">
    <field x="4"/>
  </rowFields>
  <rowItems count="2">
    <i>
      <x/>
    </i>
    <i t="grand">
      <x/>
    </i>
  </rowItems>
  <colItems count="1">
    <i/>
  </colItems>
  <dataFields count="1">
    <dataField name="Sum of Sales Am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094E99D-8853-46CB-A5FF-AE72FEBCE14D}" sourceName="Product Category">
  <pivotTables>
    <pivotTable tabId="2" name="PivotTable2"/>
  </pivotTables>
  <data>
    <tabular pivotCacheId="1930153246">
      <items count="6">
        <i x="3" s="1"/>
        <i x="5" s="1"/>
        <i x="0" s="1" nd="1"/>
        <i x="4" s="1" nd="1"/>
        <i x="2"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14D208-9775-44B7-A450-29B6FFC6E08B}" sourceName="Region">
  <pivotTables>
    <pivotTable tabId="2" name="PivotTable2"/>
  </pivotTables>
  <data>
    <tabular pivotCacheId="1930153246">
      <items count="4">
        <i x="0" s="1"/>
        <i x="3"/>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97E711B-521E-4B1C-AE72-84A557D58735}" sourceName="Months (Date)">
  <pivotTables>
    <pivotTable tabId="2" name="PivotTable2"/>
  </pivotTables>
  <data>
    <tabular pivotCacheId="1930153246">
      <items count="14">
        <i x="1"/>
        <i x="2"/>
        <i x="3"/>
        <i x="4"/>
        <i x="5"/>
        <i x="6"/>
        <i x="7"/>
        <i x="8" s="1"/>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C6EBE93-EEA1-4834-B5CF-B60C00533773}" cache="Slicer_Product_Category" caption="Product Category" rowHeight="234950"/>
  <slicer name="Region" xr10:uid="{06F54C89-1FCF-41DB-B9C3-80A422CD6CD0}" cache="Slicer_Region" caption="Region" rowHeight="234950"/>
  <slicer name="Months (Date)" xr10:uid="{3797F5BF-3E52-4C8A-9CC6-01EA48A9989C}"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9BCA5979-B65A-4028-B821-47B6F57B41CC}" cache="Slicer_Product_Category" caption="Product Category" rowHeight="234950"/>
  <slicer name="Region 1" xr10:uid="{3CA083FB-C111-4691-86FC-5367FD506D11}" cache="Slicer_Region" caption="Region" rowHeight="234950"/>
  <slicer name="Months (Date) 1" xr10:uid="{11CEF63D-0395-44CD-B2D7-5EA0FBAF8DF5}" cache="Slicer_Months__Date" caption="Months (Date)" startItem="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424323-A16D-4B30-9C75-FEA70CBE2EAD}">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9443-0A45-4F6E-B8D8-58FADBBB3C56}">
  <dimension ref="A1:H366"/>
  <sheetViews>
    <sheetView topLeftCell="B1" workbookViewId="0">
      <selection activeCell="G367" sqref="G367"/>
    </sheetView>
  </sheetViews>
  <sheetFormatPr defaultRowHeight="14.4" x14ac:dyDescent="0.3"/>
  <cols>
    <col min="1" max="1" width="14.21875" customWidth="1"/>
    <col min="2" max="2" width="14.6640625" customWidth="1"/>
    <col min="3" max="3" width="17.5546875" customWidth="1"/>
    <col min="4" max="4" width="13.88671875" customWidth="1"/>
    <col min="6" max="6" width="13.88671875" customWidth="1"/>
    <col min="7" max="7" width="12.77734375" customWidth="1"/>
    <col min="8" max="8" width="14.21875" customWidth="1"/>
  </cols>
  <sheetData>
    <row r="1" spans="1:8" x14ac:dyDescent="0.3">
      <c r="A1" t="s">
        <v>0</v>
      </c>
      <c r="B1" t="s">
        <v>1</v>
      </c>
      <c r="C1" t="s">
        <v>2</v>
      </c>
      <c r="D1" t="s">
        <v>3</v>
      </c>
      <c r="E1" t="s">
        <v>4</v>
      </c>
      <c r="F1" t="s">
        <v>8</v>
      </c>
      <c r="G1" t="s">
        <v>6</v>
      </c>
      <c r="H1" t="s">
        <v>5</v>
      </c>
    </row>
    <row r="2" spans="1:8" x14ac:dyDescent="0.3">
      <c r="A2" s="1">
        <v>45658</v>
      </c>
      <c r="B2" t="str">
        <f>"ORD"&amp;TEXT(ROW(A2)-1,"000")</f>
        <v>ORD001</v>
      </c>
      <c r="C2" t="str">
        <f ca="1">CHOOSE(RANDBETWEEN(1,6),"Electronics","Furniture","Clothing","Food &amp; Beverages","Sports Equipment","Stationery")</f>
        <v>Stationery</v>
      </c>
      <c r="D2" t="str">
        <f ca="1">IF(C2="Electronics", CHOOSE(RANDBETWEEN(1,5),"Laptop","Smartphone","Tablet","Headphones","Smartwatch"),
 IF(C2="Furniture", CHOOSE(RANDBETWEEN(1,5),"Chair","Desk","Sofa","Bed","Bookshelf"),
 IF(C2="Clothing", CHOOSE(RANDBETWEEN(1,5),"Jacket","T-Shirt","Jeans","Dress","Shoes"),
 IF(C2="Food &amp; Beverages", CHOOSE(RANDBETWEEN(1,5),"Coffee Pack","Juice Bottle","Snack Box","Rice Bag","Tea Pack"),
 IF(C2="Sports Equipment", CHOOSE(RANDBETWEEN(1,5),"Football","Tennis Racket","Yoga Mat","Dumbbells","Bicycle"),
 IF(C2="Stationery", CHOOSE(RANDBETWEEN(1,5),"Notebook","Pen","Marker","Stapler","File Folder")))))))</f>
        <v>Stapler</v>
      </c>
      <c r="E2" t="str">
        <f ca="1">CHOOSE(RANDBETWEEN(1,4),"North","South","East","West")</f>
        <v>East</v>
      </c>
      <c r="F2">
        <f ca="1">IF(C2="Electronics",RANDBETWEEN(20000,80000),
 IF(C2="Furniture",RANDBETWEEN(5000,30000),
 IF(C2="Clothing",RANDBETWEEN(1000,15000),
 IF(C2="Food &amp; Beverages",RANDBETWEEN(500,10000),
 IF(C2="Sports Equipment",RANDBETWEEN(2000,25000),
 IF(C2="Stationery",RANDBETWEEN(100,5000)))))))</f>
        <v>4886</v>
      </c>
      <c r="G2">
        <f ca="1">RANDBETWEEN(1,30)</f>
        <v>21</v>
      </c>
      <c r="H2">
        <f ca="1">F2 * G2</f>
        <v>102606</v>
      </c>
    </row>
    <row r="3" spans="1:8" x14ac:dyDescent="0.3">
      <c r="A3" s="1">
        <v>45659</v>
      </c>
      <c r="B3" t="str">
        <f t="shared" ref="B3:B66" si="0">"ORD"&amp;TEXT(ROW(A3)-1,"000")</f>
        <v>ORD002</v>
      </c>
      <c r="C3" t="str">
        <f t="shared" ref="C3:C66" ca="1" si="1">CHOOSE(RANDBETWEEN(1,6),"Electronics","Furniture","Clothing","Food &amp; Beverages","Sports Equipment","Stationery")</f>
        <v>Stationery</v>
      </c>
      <c r="D3" t="str">
        <f t="shared" ref="D3:D66" ca="1" si="2">IF(C3="Electronics", CHOOSE(RANDBETWEEN(1,5),"Laptop","Smartphone","Tablet","Headphones","Smartwatch"),
 IF(C3="Furniture", CHOOSE(RANDBETWEEN(1,5),"Chair","Desk","Sofa","Bed","Bookshelf"),
 IF(C3="Clothing", CHOOSE(RANDBETWEEN(1,5),"Jacket","T-Shirt","Jeans","Dress","Shoes"),
 IF(C3="Food &amp; Beverages", CHOOSE(RANDBETWEEN(1,5),"Coffee Pack","Juice Bottle","Snack Box","Rice Bag","Tea Pack"),
 IF(C3="Sports Equipment", CHOOSE(RANDBETWEEN(1,5),"Football","Tennis Racket","Yoga Mat","Dumbbells","Bicycle"),
 IF(C3="Stationery", CHOOSE(RANDBETWEEN(1,5),"Notebook","Pen","Marker","Stapler","File Folder")))))))</f>
        <v>File Folder</v>
      </c>
      <c r="E3" t="str">
        <f t="shared" ref="E3:E66" ca="1" si="3">CHOOSE(RANDBETWEEN(1,4),"North","South","East","West")</f>
        <v>North</v>
      </c>
      <c r="F3">
        <f t="shared" ref="F3:F66" ca="1" si="4">IF(C3="Electronics",RANDBETWEEN(20000,80000),
 IF(C3="Furniture",RANDBETWEEN(5000,30000),
 IF(C3="Clothing",RANDBETWEEN(1000,15000),
 IF(C3="Food &amp; Beverages",RANDBETWEEN(500,10000),
 IF(C3="Sports Equipment",RANDBETWEEN(2000,25000),
 IF(C3="Stationery",RANDBETWEEN(100,5000)))))))</f>
        <v>3345</v>
      </c>
      <c r="G3">
        <f t="shared" ref="G3:G66" ca="1" si="5">RANDBETWEEN(1,30)</f>
        <v>10</v>
      </c>
      <c r="H3">
        <f t="shared" ref="H3:H66" ca="1" si="6">F3 * G3</f>
        <v>33450</v>
      </c>
    </row>
    <row r="4" spans="1:8" x14ac:dyDescent="0.3">
      <c r="A4" s="1">
        <v>45660</v>
      </c>
      <c r="B4" t="str">
        <f t="shared" si="0"/>
        <v>ORD003</v>
      </c>
      <c r="C4" t="str">
        <f t="shared" ca="1" si="1"/>
        <v>Electronics</v>
      </c>
      <c r="D4" t="str">
        <f t="shared" ca="1" si="2"/>
        <v>Smartphone</v>
      </c>
      <c r="E4" t="str">
        <f t="shared" ca="1" si="3"/>
        <v>North</v>
      </c>
      <c r="F4">
        <f t="shared" ca="1" si="4"/>
        <v>39382</v>
      </c>
      <c r="G4">
        <f t="shared" ca="1" si="5"/>
        <v>7</v>
      </c>
      <c r="H4">
        <f t="shared" ca="1" si="6"/>
        <v>275674</v>
      </c>
    </row>
    <row r="5" spans="1:8" x14ac:dyDescent="0.3">
      <c r="A5" s="1">
        <v>45661</v>
      </c>
      <c r="B5" t="str">
        <f t="shared" si="0"/>
        <v>ORD004</v>
      </c>
      <c r="C5" t="str">
        <f t="shared" ca="1" si="1"/>
        <v>Electronics</v>
      </c>
      <c r="D5" t="str">
        <f t="shared" ca="1" si="2"/>
        <v>Tablet</v>
      </c>
      <c r="E5" t="str">
        <f t="shared" ca="1" si="3"/>
        <v>North</v>
      </c>
      <c r="F5">
        <f t="shared" ca="1" si="4"/>
        <v>40892</v>
      </c>
      <c r="G5">
        <f t="shared" ca="1" si="5"/>
        <v>11</v>
      </c>
      <c r="H5">
        <f t="shared" ca="1" si="6"/>
        <v>449812</v>
      </c>
    </row>
    <row r="6" spans="1:8" x14ac:dyDescent="0.3">
      <c r="A6" s="1">
        <v>45662</v>
      </c>
      <c r="B6" t="str">
        <f t="shared" si="0"/>
        <v>ORD005</v>
      </c>
      <c r="C6" t="str">
        <f t="shared" ca="1" si="1"/>
        <v>Electronics</v>
      </c>
      <c r="D6" t="str">
        <f t="shared" ca="1" si="2"/>
        <v>Tablet</v>
      </c>
      <c r="E6" t="str">
        <f t="shared" ca="1" si="3"/>
        <v>South</v>
      </c>
      <c r="F6">
        <f t="shared" ca="1" si="4"/>
        <v>23661</v>
      </c>
      <c r="G6">
        <f t="shared" ca="1" si="5"/>
        <v>15</v>
      </c>
      <c r="H6">
        <f t="shared" ca="1" si="6"/>
        <v>354915</v>
      </c>
    </row>
    <row r="7" spans="1:8" x14ac:dyDescent="0.3">
      <c r="A7" s="1">
        <v>45663</v>
      </c>
      <c r="B7" t="str">
        <f t="shared" si="0"/>
        <v>ORD006</v>
      </c>
      <c r="C7" t="str">
        <f t="shared" ca="1" si="1"/>
        <v>Electronics</v>
      </c>
      <c r="D7" t="str">
        <f t="shared" ca="1" si="2"/>
        <v>Smartphone</v>
      </c>
      <c r="E7" t="str">
        <f t="shared" ca="1" si="3"/>
        <v>South</v>
      </c>
      <c r="F7">
        <f t="shared" ca="1" si="4"/>
        <v>43017</v>
      </c>
      <c r="G7">
        <f t="shared" ca="1" si="5"/>
        <v>13</v>
      </c>
      <c r="H7">
        <f t="shared" ca="1" si="6"/>
        <v>559221</v>
      </c>
    </row>
    <row r="8" spans="1:8" x14ac:dyDescent="0.3">
      <c r="A8" s="1">
        <v>45664</v>
      </c>
      <c r="B8" t="str">
        <f t="shared" si="0"/>
        <v>ORD007</v>
      </c>
      <c r="C8" t="str">
        <f t="shared" ca="1" si="1"/>
        <v>Stationery</v>
      </c>
      <c r="D8" t="str">
        <f t="shared" ca="1" si="2"/>
        <v>Notebook</v>
      </c>
      <c r="E8" t="str">
        <f t="shared" ca="1" si="3"/>
        <v>East</v>
      </c>
      <c r="F8">
        <f t="shared" ca="1" si="4"/>
        <v>2489</v>
      </c>
      <c r="G8">
        <f t="shared" ca="1" si="5"/>
        <v>4</v>
      </c>
      <c r="H8">
        <f t="shared" ca="1" si="6"/>
        <v>9956</v>
      </c>
    </row>
    <row r="9" spans="1:8" x14ac:dyDescent="0.3">
      <c r="A9" s="1">
        <v>45665</v>
      </c>
      <c r="B9" t="str">
        <f t="shared" si="0"/>
        <v>ORD008</v>
      </c>
      <c r="C9" t="str">
        <f t="shared" ca="1" si="1"/>
        <v>Stationery</v>
      </c>
      <c r="D9" t="str">
        <f t="shared" ca="1" si="2"/>
        <v>Marker</v>
      </c>
      <c r="E9" t="str">
        <f t="shared" ca="1" si="3"/>
        <v>North</v>
      </c>
      <c r="F9">
        <f t="shared" ca="1" si="4"/>
        <v>2449</v>
      </c>
      <c r="G9">
        <f t="shared" ca="1" si="5"/>
        <v>8</v>
      </c>
      <c r="H9">
        <f t="shared" ca="1" si="6"/>
        <v>19592</v>
      </c>
    </row>
    <row r="10" spans="1:8" x14ac:dyDescent="0.3">
      <c r="A10" s="1">
        <v>45666</v>
      </c>
      <c r="B10" t="str">
        <f t="shared" si="0"/>
        <v>ORD009</v>
      </c>
      <c r="C10" t="str">
        <f t="shared" ca="1" si="1"/>
        <v>Sports Equipment</v>
      </c>
      <c r="D10" t="str">
        <f t="shared" ca="1" si="2"/>
        <v>Bicycle</v>
      </c>
      <c r="E10" t="str">
        <f t="shared" ca="1" si="3"/>
        <v>West</v>
      </c>
      <c r="F10">
        <f t="shared" ca="1" si="4"/>
        <v>4592</v>
      </c>
      <c r="G10">
        <f t="shared" ca="1" si="5"/>
        <v>14</v>
      </c>
      <c r="H10">
        <f t="shared" ca="1" si="6"/>
        <v>64288</v>
      </c>
    </row>
    <row r="11" spans="1:8" x14ac:dyDescent="0.3">
      <c r="A11" s="1">
        <v>45667</v>
      </c>
      <c r="B11" t="str">
        <f t="shared" si="0"/>
        <v>ORD010</v>
      </c>
      <c r="C11" t="str">
        <f t="shared" ca="1" si="1"/>
        <v>Furniture</v>
      </c>
      <c r="D11" t="str">
        <f t="shared" ca="1" si="2"/>
        <v>Bed</v>
      </c>
      <c r="E11" t="str">
        <f t="shared" ca="1" si="3"/>
        <v>East</v>
      </c>
      <c r="F11">
        <f t="shared" ca="1" si="4"/>
        <v>24429</v>
      </c>
      <c r="G11">
        <f t="shared" ca="1" si="5"/>
        <v>4</v>
      </c>
      <c r="H11">
        <f t="shared" ca="1" si="6"/>
        <v>97716</v>
      </c>
    </row>
    <row r="12" spans="1:8" x14ac:dyDescent="0.3">
      <c r="A12" s="1">
        <v>45668</v>
      </c>
      <c r="B12" t="str">
        <f t="shared" si="0"/>
        <v>ORD011</v>
      </c>
      <c r="C12" t="str">
        <f t="shared" ca="1" si="1"/>
        <v>Furniture</v>
      </c>
      <c r="D12" t="str">
        <f t="shared" ca="1" si="2"/>
        <v>Chair</v>
      </c>
      <c r="E12" t="str">
        <f t="shared" ca="1" si="3"/>
        <v>West</v>
      </c>
      <c r="F12">
        <f t="shared" ca="1" si="4"/>
        <v>13104</v>
      </c>
      <c r="G12">
        <f t="shared" ca="1" si="5"/>
        <v>2</v>
      </c>
      <c r="H12">
        <f t="shared" ca="1" si="6"/>
        <v>26208</v>
      </c>
    </row>
    <row r="13" spans="1:8" x14ac:dyDescent="0.3">
      <c r="A13" s="1">
        <v>45669</v>
      </c>
      <c r="B13" t="str">
        <f t="shared" si="0"/>
        <v>ORD012</v>
      </c>
      <c r="C13" t="str">
        <f t="shared" ca="1" si="1"/>
        <v>Electronics</v>
      </c>
      <c r="D13" t="str">
        <f t="shared" ca="1" si="2"/>
        <v>Headphones</v>
      </c>
      <c r="E13" t="str">
        <f t="shared" ca="1" si="3"/>
        <v>North</v>
      </c>
      <c r="F13">
        <f t="shared" ca="1" si="4"/>
        <v>28061</v>
      </c>
      <c r="G13">
        <f t="shared" ca="1" si="5"/>
        <v>13</v>
      </c>
      <c r="H13">
        <f t="shared" ca="1" si="6"/>
        <v>364793</v>
      </c>
    </row>
    <row r="14" spans="1:8" x14ac:dyDescent="0.3">
      <c r="A14" s="1">
        <v>45670</v>
      </c>
      <c r="B14" t="str">
        <f t="shared" si="0"/>
        <v>ORD013</v>
      </c>
      <c r="C14" t="str">
        <f t="shared" ca="1" si="1"/>
        <v>Furniture</v>
      </c>
      <c r="D14" t="str">
        <f t="shared" ca="1" si="2"/>
        <v>Bed</v>
      </c>
      <c r="E14" t="str">
        <f t="shared" ca="1" si="3"/>
        <v>West</v>
      </c>
      <c r="F14">
        <f t="shared" ca="1" si="4"/>
        <v>25662</v>
      </c>
      <c r="G14">
        <f t="shared" ca="1" si="5"/>
        <v>14</v>
      </c>
      <c r="H14">
        <f t="shared" ca="1" si="6"/>
        <v>359268</v>
      </c>
    </row>
    <row r="15" spans="1:8" x14ac:dyDescent="0.3">
      <c r="A15" s="1">
        <v>45671</v>
      </c>
      <c r="B15" t="str">
        <f t="shared" si="0"/>
        <v>ORD014</v>
      </c>
      <c r="C15" t="str">
        <f t="shared" ca="1" si="1"/>
        <v>Stationery</v>
      </c>
      <c r="D15" t="str">
        <f t="shared" ca="1" si="2"/>
        <v>Pen</v>
      </c>
      <c r="E15" t="str">
        <f t="shared" ca="1" si="3"/>
        <v>West</v>
      </c>
      <c r="F15">
        <f t="shared" ca="1" si="4"/>
        <v>3260</v>
      </c>
      <c r="G15">
        <f t="shared" ca="1" si="5"/>
        <v>6</v>
      </c>
      <c r="H15">
        <f t="shared" ca="1" si="6"/>
        <v>19560</v>
      </c>
    </row>
    <row r="16" spans="1:8" x14ac:dyDescent="0.3">
      <c r="A16" s="1">
        <v>45672</v>
      </c>
      <c r="B16" t="str">
        <f t="shared" si="0"/>
        <v>ORD015</v>
      </c>
      <c r="C16" t="str">
        <f t="shared" ca="1" si="1"/>
        <v>Stationery</v>
      </c>
      <c r="D16" t="str">
        <f t="shared" ca="1" si="2"/>
        <v>Marker</v>
      </c>
      <c r="E16" t="str">
        <f t="shared" ca="1" si="3"/>
        <v>North</v>
      </c>
      <c r="F16">
        <f t="shared" ca="1" si="4"/>
        <v>1679</v>
      </c>
      <c r="G16">
        <f t="shared" ca="1" si="5"/>
        <v>7</v>
      </c>
      <c r="H16">
        <f t="shared" ca="1" si="6"/>
        <v>11753</v>
      </c>
    </row>
    <row r="17" spans="1:8" x14ac:dyDescent="0.3">
      <c r="A17" s="1">
        <v>45673</v>
      </c>
      <c r="B17" t="str">
        <f t="shared" si="0"/>
        <v>ORD016</v>
      </c>
      <c r="C17" t="str">
        <f t="shared" ca="1" si="1"/>
        <v>Electronics</v>
      </c>
      <c r="D17" t="str">
        <f t="shared" ca="1" si="2"/>
        <v>Smartwatch</v>
      </c>
      <c r="E17" t="str">
        <f t="shared" ca="1" si="3"/>
        <v>South</v>
      </c>
      <c r="F17">
        <f t="shared" ca="1" si="4"/>
        <v>62333</v>
      </c>
      <c r="G17">
        <f t="shared" ca="1" si="5"/>
        <v>21</v>
      </c>
      <c r="H17">
        <f t="shared" ca="1" si="6"/>
        <v>1308993</v>
      </c>
    </row>
    <row r="18" spans="1:8" x14ac:dyDescent="0.3">
      <c r="A18" s="1">
        <v>45674</v>
      </c>
      <c r="B18" t="str">
        <f t="shared" si="0"/>
        <v>ORD017</v>
      </c>
      <c r="C18" t="str">
        <f t="shared" ca="1" si="1"/>
        <v>Sports Equipment</v>
      </c>
      <c r="D18" t="str">
        <f t="shared" ca="1" si="2"/>
        <v>Yoga Mat</v>
      </c>
      <c r="E18" t="str">
        <f t="shared" ca="1" si="3"/>
        <v>West</v>
      </c>
      <c r="F18">
        <f t="shared" ca="1" si="4"/>
        <v>2771</v>
      </c>
      <c r="G18">
        <f t="shared" ca="1" si="5"/>
        <v>17</v>
      </c>
      <c r="H18">
        <f t="shared" ca="1" si="6"/>
        <v>47107</v>
      </c>
    </row>
    <row r="19" spans="1:8" x14ac:dyDescent="0.3">
      <c r="A19" s="1">
        <v>45675</v>
      </c>
      <c r="B19" t="str">
        <f t="shared" si="0"/>
        <v>ORD018</v>
      </c>
      <c r="C19" t="str">
        <f t="shared" ca="1" si="1"/>
        <v>Stationery</v>
      </c>
      <c r="D19" t="str">
        <f t="shared" ca="1" si="2"/>
        <v>Notebook</v>
      </c>
      <c r="E19" t="str">
        <f t="shared" ca="1" si="3"/>
        <v>East</v>
      </c>
      <c r="F19">
        <f t="shared" ca="1" si="4"/>
        <v>1240</v>
      </c>
      <c r="G19">
        <f t="shared" ca="1" si="5"/>
        <v>10</v>
      </c>
      <c r="H19">
        <f t="shared" ca="1" si="6"/>
        <v>12400</v>
      </c>
    </row>
    <row r="20" spans="1:8" x14ac:dyDescent="0.3">
      <c r="A20" s="1">
        <v>45676</v>
      </c>
      <c r="B20" t="str">
        <f t="shared" si="0"/>
        <v>ORD019</v>
      </c>
      <c r="C20" t="str">
        <f t="shared" ca="1" si="1"/>
        <v>Electronics</v>
      </c>
      <c r="D20" t="str">
        <f t="shared" ca="1" si="2"/>
        <v>Headphones</v>
      </c>
      <c r="E20" t="str">
        <f t="shared" ca="1" si="3"/>
        <v>North</v>
      </c>
      <c r="F20">
        <f t="shared" ca="1" si="4"/>
        <v>35835</v>
      </c>
      <c r="G20">
        <f t="shared" ca="1" si="5"/>
        <v>22</v>
      </c>
      <c r="H20">
        <f t="shared" ca="1" si="6"/>
        <v>788370</v>
      </c>
    </row>
    <row r="21" spans="1:8" x14ac:dyDescent="0.3">
      <c r="A21" s="1">
        <v>45677</v>
      </c>
      <c r="B21" t="str">
        <f t="shared" si="0"/>
        <v>ORD020</v>
      </c>
      <c r="C21" t="str">
        <f t="shared" ca="1" si="1"/>
        <v>Food &amp; Beverages</v>
      </c>
      <c r="D21" t="str">
        <f t="shared" ca="1" si="2"/>
        <v>Rice Bag</v>
      </c>
      <c r="E21" t="str">
        <f t="shared" ca="1" si="3"/>
        <v>South</v>
      </c>
      <c r="F21">
        <f t="shared" ca="1" si="4"/>
        <v>6796</v>
      </c>
      <c r="G21">
        <f t="shared" ca="1" si="5"/>
        <v>21</v>
      </c>
      <c r="H21">
        <f t="shared" ca="1" si="6"/>
        <v>142716</v>
      </c>
    </row>
    <row r="22" spans="1:8" x14ac:dyDescent="0.3">
      <c r="A22" s="1">
        <v>45678</v>
      </c>
      <c r="B22" t="str">
        <f t="shared" si="0"/>
        <v>ORD021</v>
      </c>
      <c r="C22" t="str">
        <f t="shared" ca="1" si="1"/>
        <v>Furniture</v>
      </c>
      <c r="D22" t="str">
        <f t="shared" ca="1" si="2"/>
        <v>Chair</v>
      </c>
      <c r="E22" t="str">
        <f t="shared" ca="1" si="3"/>
        <v>East</v>
      </c>
      <c r="F22">
        <f t="shared" ca="1" si="4"/>
        <v>13918</v>
      </c>
      <c r="G22">
        <f t="shared" ca="1" si="5"/>
        <v>10</v>
      </c>
      <c r="H22">
        <f t="shared" ca="1" si="6"/>
        <v>139180</v>
      </c>
    </row>
    <row r="23" spans="1:8" x14ac:dyDescent="0.3">
      <c r="A23" s="1">
        <v>45679</v>
      </c>
      <c r="B23" t="str">
        <f t="shared" si="0"/>
        <v>ORD022</v>
      </c>
      <c r="C23" t="str">
        <f t="shared" ca="1" si="1"/>
        <v>Food &amp; Beverages</v>
      </c>
      <c r="D23" t="str">
        <f t="shared" ca="1" si="2"/>
        <v>Rice Bag</v>
      </c>
      <c r="E23" t="str">
        <f t="shared" ca="1" si="3"/>
        <v>East</v>
      </c>
      <c r="F23">
        <f t="shared" ca="1" si="4"/>
        <v>9099</v>
      </c>
      <c r="G23">
        <f t="shared" ca="1" si="5"/>
        <v>14</v>
      </c>
      <c r="H23">
        <f t="shared" ca="1" si="6"/>
        <v>127386</v>
      </c>
    </row>
    <row r="24" spans="1:8" x14ac:dyDescent="0.3">
      <c r="A24" s="1">
        <v>45680</v>
      </c>
      <c r="B24" t="str">
        <f t="shared" si="0"/>
        <v>ORD023</v>
      </c>
      <c r="C24" t="str">
        <f t="shared" ca="1" si="1"/>
        <v>Furniture</v>
      </c>
      <c r="D24" t="str">
        <f t="shared" ca="1" si="2"/>
        <v>Chair</v>
      </c>
      <c r="E24" t="str">
        <f t="shared" ca="1" si="3"/>
        <v>West</v>
      </c>
      <c r="F24">
        <f t="shared" ca="1" si="4"/>
        <v>13107</v>
      </c>
      <c r="G24">
        <f t="shared" ca="1" si="5"/>
        <v>10</v>
      </c>
      <c r="H24">
        <f t="shared" ca="1" si="6"/>
        <v>131070</v>
      </c>
    </row>
    <row r="25" spans="1:8" x14ac:dyDescent="0.3">
      <c r="A25" s="1">
        <v>45681</v>
      </c>
      <c r="B25" t="str">
        <f t="shared" si="0"/>
        <v>ORD024</v>
      </c>
      <c r="C25" t="str">
        <f t="shared" ca="1" si="1"/>
        <v>Stationery</v>
      </c>
      <c r="D25" t="str">
        <f t="shared" ca="1" si="2"/>
        <v>Pen</v>
      </c>
      <c r="E25" t="str">
        <f t="shared" ca="1" si="3"/>
        <v>South</v>
      </c>
      <c r="F25">
        <f t="shared" ca="1" si="4"/>
        <v>1739</v>
      </c>
      <c r="G25">
        <f t="shared" ca="1" si="5"/>
        <v>19</v>
      </c>
      <c r="H25">
        <f t="shared" ca="1" si="6"/>
        <v>33041</v>
      </c>
    </row>
    <row r="26" spans="1:8" x14ac:dyDescent="0.3">
      <c r="A26" s="1">
        <v>45682</v>
      </c>
      <c r="B26" t="str">
        <f t="shared" si="0"/>
        <v>ORD025</v>
      </c>
      <c r="C26" t="str">
        <f t="shared" ca="1" si="1"/>
        <v>Stationery</v>
      </c>
      <c r="D26" t="str">
        <f t="shared" ca="1" si="2"/>
        <v>File Folder</v>
      </c>
      <c r="E26" t="str">
        <f t="shared" ca="1" si="3"/>
        <v>South</v>
      </c>
      <c r="F26">
        <f t="shared" ca="1" si="4"/>
        <v>4318</v>
      </c>
      <c r="G26">
        <f t="shared" ca="1" si="5"/>
        <v>3</v>
      </c>
      <c r="H26">
        <f t="shared" ca="1" si="6"/>
        <v>12954</v>
      </c>
    </row>
    <row r="27" spans="1:8" x14ac:dyDescent="0.3">
      <c r="A27" s="1">
        <v>45683</v>
      </c>
      <c r="B27" t="str">
        <f t="shared" si="0"/>
        <v>ORD026</v>
      </c>
      <c r="C27" t="str">
        <f t="shared" ca="1" si="1"/>
        <v>Food &amp; Beverages</v>
      </c>
      <c r="D27" t="str">
        <f t="shared" ca="1" si="2"/>
        <v>Tea Pack</v>
      </c>
      <c r="E27" t="str">
        <f t="shared" ca="1" si="3"/>
        <v>South</v>
      </c>
      <c r="F27">
        <f t="shared" ca="1" si="4"/>
        <v>722</v>
      </c>
      <c r="G27">
        <f t="shared" ca="1" si="5"/>
        <v>10</v>
      </c>
      <c r="H27">
        <f t="shared" ca="1" si="6"/>
        <v>7220</v>
      </c>
    </row>
    <row r="28" spans="1:8" x14ac:dyDescent="0.3">
      <c r="A28" s="1">
        <v>45684</v>
      </c>
      <c r="B28" t="str">
        <f t="shared" si="0"/>
        <v>ORD027</v>
      </c>
      <c r="C28" t="str">
        <f t="shared" ca="1" si="1"/>
        <v>Clothing</v>
      </c>
      <c r="D28" t="str">
        <f t="shared" ca="1" si="2"/>
        <v>T-Shirt</v>
      </c>
      <c r="E28" t="str">
        <f t="shared" ca="1" si="3"/>
        <v>North</v>
      </c>
      <c r="F28">
        <f t="shared" ca="1" si="4"/>
        <v>7834</v>
      </c>
      <c r="G28">
        <f t="shared" ca="1" si="5"/>
        <v>4</v>
      </c>
      <c r="H28">
        <f t="shared" ca="1" si="6"/>
        <v>31336</v>
      </c>
    </row>
    <row r="29" spans="1:8" x14ac:dyDescent="0.3">
      <c r="A29" s="1">
        <v>45685</v>
      </c>
      <c r="B29" t="str">
        <f t="shared" si="0"/>
        <v>ORD028</v>
      </c>
      <c r="C29" t="str">
        <f t="shared" ca="1" si="1"/>
        <v>Electronics</v>
      </c>
      <c r="D29" t="str">
        <f t="shared" ca="1" si="2"/>
        <v>Tablet</v>
      </c>
      <c r="E29" t="str">
        <f t="shared" ca="1" si="3"/>
        <v>North</v>
      </c>
      <c r="F29">
        <f t="shared" ca="1" si="4"/>
        <v>54395</v>
      </c>
      <c r="G29">
        <f t="shared" ca="1" si="5"/>
        <v>5</v>
      </c>
      <c r="H29">
        <f t="shared" ca="1" si="6"/>
        <v>271975</v>
      </c>
    </row>
    <row r="30" spans="1:8" x14ac:dyDescent="0.3">
      <c r="A30" s="1">
        <v>45686</v>
      </c>
      <c r="B30" t="str">
        <f t="shared" si="0"/>
        <v>ORD029</v>
      </c>
      <c r="C30" t="str">
        <f t="shared" ca="1" si="1"/>
        <v>Stationery</v>
      </c>
      <c r="D30" t="str">
        <f t="shared" ca="1" si="2"/>
        <v>Marker</v>
      </c>
      <c r="E30" t="str">
        <f t="shared" ca="1" si="3"/>
        <v>West</v>
      </c>
      <c r="F30">
        <f t="shared" ca="1" si="4"/>
        <v>245</v>
      </c>
      <c r="G30">
        <f t="shared" ca="1" si="5"/>
        <v>30</v>
      </c>
      <c r="H30">
        <f t="shared" ca="1" si="6"/>
        <v>7350</v>
      </c>
    </row>
    <row r="31" spans="1:8" x14ac:dyDescent="0.3">
      <c r="A31" s="1">
        <v>45687</v>
      </c>
      <c r="B31" t="str">
        <f t="shared" si="0"/>
        <v>ORD030</v>
      </c>
      <c r="C31" t="str">
        <f t="shared" ca="1" si="1"/>
        <v>Clothing</v>
      </c>
      <c r="D31" t="str">
        <f t="shared" ca="1" si="2"/>
        <v>Jacket</v>
      </c>
      <c r="E31" t="str">
        <f t="shared" ca="1" si="3"/>
        <v>South</v>
      </c>
      <c r="F31">
        <f t="shared" ca="1" si="4"/>
        <v>14823</v>
      </c>
      <c r="G31">
        <f t="shared" ca="1" si="5"/>
        <v>27</v>
      </c>
      <c r="H31">
        <f t="shared" ca="1" si="6"/>
        <v>400221</v>
      </c>
    </row>
    <row r="32" spans="1:8" x14ac:dyDescent="0.3">
      <c r="A32" s="1">
        <v>45688</v>
      </c>
      <c r="B32" t="str">
        <f t="shared" si="0"/>
        <v>ORD031</v>
      </c>
      <c r="C32" t="str">
        <f t="shared" ca="1" si="1"/>
        <v>Food &amp; Beverages</v>
      </c>
      <c r="D32" t="str">
        <f t="shared" ca="1" si="2"/>
        <v>Juice Bottle</v>
      </c>
      <c r="E32" t="str">
        <f t="shared" ca="1" si="3"/>
        <v>West</v>
      </c>
      <c r="F32">
        <f t="shared" ca="1" si="4"/>
        <v>7809</v>
      </c>
      <c r="G32">
        <f t="shared" ca="1" si="5"/>
        <v>27</v>
      </c>
      <c r="H32">
        <f t="shared" ca="1" si="6"/>
        <v>210843</v>
      </c>
    </row>
    <row r="33" spans="1:8" x14ac:dyDescent="0.3">
      <c r="A33" s="1">
        <v>45689</v>
      </c>
      <c r="B33" t="str">
        <f t="shared" si="0"/>
        <v>ORD032</v>
      </c>
      <c r="C33" t="str">
        <f t="shared" ca="1" si="1"/>
        <v>Furniture</v>
      </c>
      <c r="D33" t="str">
        <f t="shared" ca="1" si="2"/>
        <v>Desk</v>
      </c>
      <c r="E33" t="str">
        <f t="shared" ca="1" si="3"/>
        <v>East</v>
      </c>
      <c r="F33">
        <f t="shared" ca="1" si="4"/>
        <v>26751</v>
      </c>
      <c r="G33">
        <f t="shared" ca="1" si="5"/>
        <v>16</v>
      </c>
      <c r="H33">
        <f t="shared" ca="1" si="6"/>
        <v>428016</v>
      </c>
    </row>
    <row r="34" spans="1:8" x14ac:dyDescent="0.3">
      <c r="A34" s="1">
        <v>45690</v>
      </c>
      <c r="B34" t="str">
        <f t="shared" si="0"/>
        <v>ORD033</v>
      </c>
      <c r="C34" t="str">
        <f t="shared" ca="1" si="1"/>
        <v>Sports Equipment</v>
      </c>
      <c r="D34" t="str">
        <f t="shared" ca="1" si="2"/>
        <v>Bicycle</v>
      </c>
      <c r="E34" t="str">
        <f t="shared" ca="1" si="3"/>
        <v>South</v>
      </c>
      <c r="F34">
        <f t="shared" ca="1" si="4"/>
        <v>2721</v>
      </c>
      <c r="G34">
        <f t="shared" ca="1" si="5"/>
        <v>24</v>
      </c>
      <c r="H34">
        <f t="shared" ca="1" si="6"/>
        <v>65304</v>
      </c>
    </row>
    <row r="35" spans="1:8" x14ac:dyDescent="0.3">
      <c r="A35" s="1">
        <v>45691</v>
      </c>
      <c r="B35" t="str">
        <f t="shared" si="0"/>
        <v>ORD034</v>
      </c>
      <c r="C35" t="str">
        <f t="shared" ca="1" si="1"/>
        <v>Sports Equipment</v>
      </c>
      <c r="D35" t="str">
        <f t="shared" ca="1" si="2"/>
        <v>Dumbbells</v>
      </c>
      <c r="E35" t="str">
        <f t="shared" ca="1" si="3"/>
        <v>East</v>
      </c>
      <c r="F35">
        <f t="shared" ca="1" si="4"/>
        <v>6332</v>
      </c>
      <c r="G35">
        <f t="shared" ca="1" si="5"/>
        <v>9</v>
      </c>
      <c r="H35">
        <f t="shared" ca="1" si="6"/>
        <v>56988</v>
      </c>
    </row>
    <row r="36" spans="1:8" x14ac:dyDescent="0.3">
      <c r="A36" s="1">
        <v>45692</v>
      </c>
      <c r="B36" t="str">
        <f t="shared" si="0"/>
        <v>ORD035</v>
      </c>
      <c r="C36" t="str">
        <f t="shared" ca="1" si="1"/>
        <v>Electronics</v>
      </c>
      <c r="D36" t="str">
        <f t="shared" ca="1" si="2"/>
        <v>Headphones</v>
      </c>
      <c r="E36" t="str">
        <f t="shared" ca="1" si="3"/>
        <v>West</v>
      </c>
      <c r="F36">
        <f t="shared" ca="1" si="4"/>
        <v>38053</v>
      </c>
      <c r="G36">
        <f t="shared" ca="1" si="5"/>
        <v>8</v>
      </c>
      <c r="H36">
        <f t="shared" ca="1" si="6"/>
        <v>304424</v>
      </c>
    </row>
    <row r="37" spans="1:8" x14ac:dyDescent="0.3">
      <c r="A37" s="1">
        <v>45693</v>
      </c>
      <c r="B37" t="str">
        <f t="shared" si="0"/>
        <v>ORD036</v>
      </c>
      <c r="C37" t="str">
        <f t="shared" ca="1" si="1"/>
        <v>Stationery</v>
      </c>
      <c r="D37" t="str">
        <f t="shared" ca="1" si="2"/>
        <v>File Folder</v>
      </c>
      <c r="E37" t="str">
        <f t="shared" ca="1" si="3"/>
        <v>East</v>
      </c>
      <c r="F37">
        <f t="shared" ca="1" si="4"/>
        <v>1635</v>
      </c>
      <c r="G37">
        <f t="shared" ca="1" si="5"/>
        <v>15</v>
      </c>
      <c r="H37">
        <f t="shared" ca="1" si="6"/>
        <v>24525</v>
      </c>
    </row>
    <row r="38" spans="1:8" x14ac:dyDescent="0.3">
      <c r="A38" s="1">
        <v>45694</v>
      </c>
      <c r="B38" t="str">
        <f t="shared" si="0"/>
        <v>ORD037</v>
      </c>
      <c r="C38" t="str">
        <f t="shared" ca="1" si="1"/>
        <v>Stationery</v>
      </c>
      <c r="D38" t="str">
        <f t="shared" ca="1" si="2"/>
        <v>Marker</v>
      </c>
      <c r="E38" t="str">
        <f t="shared" ca="1" si="3"/>
        <v>South</v>
      </c>
      <c r="F38">
        <f t="shared" ca="1" si="4"/>
        <v>4382</v>
      </c>
      <c r="G38">
        <f t="shared" ca="1" si="5"/>
        <v>18</v>
      </c>
      <c r="H38">
        <f t="shared" ca="1" si="6"/>
        <v>78876</v>
      </c>
    </row>
    <row r="39" spans="1:8" x14ac:dyDescent="0.3">
      <c r="A39" s="1">
        <v>45695</v>
      </c>
      <c r="B39" t="str">
        <f t="shared" si="0"/>
        <v>ORD038</v>
      </c>
      <c r="C39" t="str">
        <f t="shared" ca="1" si="1"/>
        <v>Electronics</v>
      </c>
      <c r="D39" t="str">
        <f t="shared" ca="1" si="2"/>
        <v>Laptop</v>
      </c>
      <c r="E39" t="str">
        <f t="shared" ca="1" si="3"/>
        <v>West</v>
      </c>
      <c r="F39">
        <f t="shared" ca="1" si="4"/>
        <v>58759</v>
      </c>
      <c r="G39">
        <f t="shared" ca="1" si="5"/>
        <v>15</v>
      </c>
      <c r="H39">
        <f t="shared" ca="1" si="6"/>
        <v>881385</v>
      </c>
    </row>
    <row r="40" spans="1:8" x14ac:dyDescent="0.3">
      <c r="A40" s="1">
        <v>45696</v>
      </c>
      <c r="B40" t="str">
        <f t="shared" si="0"/>
        <v>ORD039</v>
      </c>
      <c r="C40" t="str">
        <f t="shared" ca="1" si="1"/>
        <v>Sports Equipment</v>
      </c>
      <c r="D40" t="str">
        <f t="shared" ca="1" si="2"/>
        <v>Bicycle</v>
      </c>
      <c r="E40" t="str">
        <f t="shared" ca="1" si="3"/>
        <v>West</v>
      </c>
      <c r="F40">
        <f t="shared" ca="1" si="4"/>
        <v>17674</v>
      </c>
      <c r="G40">
        <f t="shared" ca="1" si="5"/>
        <v>18</v>
      </c>
      <c r="H40">
        <f t="shared" ca="1" si="6"/>
        <v>318132</v>
      </c>
    </row>
    <row r="41" spans="1:8" x14ac:dyDescent="0.3">
      <c r="A41" s="1">
        <v>45697</v>
      </c>
      <c r="B41" t="str">
        <f t="shared" si="0"/>
        <v>ORD040</v>
      </c>
      <c r="C41" t="str">
        <f t="shared" ca="1" si="1"/>
        <v>Stationery</v>
      </c>
      <c r="D41" t="str">
        <f t="shared" ca="1" si="2"/>
        <v>Notebook</v>
      </c>
      <c r="E41" t="str">
        <f t="shared" ca="1" si="3"/>
        <v>North</v>
      </c>
      <c r="F41">
        <f t="shared" ca="1" si="4"/>
        <v>1382</v>
      </c>
      <c r="G41">
        <f t="shared" ca="1" si="5"/>
        <v>18</v>
      </c>
      <c r="H41">
        <f t="shared" ca="1" si="6"/>
        <v>24876</v>
      </c>
    </row>
    <row r="42" spans="1:8" x14ac:dyDescent="0.3">
      <c r="A42" s="1">
        <v>45698</v>
      </c>
      <c r="B42" t="str">
        <f t="shared" si="0"/>
        <v>ORD041</v>
      </c>
      <c r="C42" t="str">
        <f t="shared" ca="1" si="1"/>
        <v>Furniture</v>
      </c>
      <c r="D42" t="str">
        <f t="shared" ca="1" si="2"/>
        <v>Bookshelf</v>
      </c>
      <c r="E42" t="str">
        <f t="shared" ca="1" si="3"/>
        <v>East</v>
      </c>
      <c r="F42">
        <f t="shared" ca="1" si="4"/>
        <v>19996</v>
      </c>
      <c r="G42">
        <f t="shared" ca="1" si="5"/>
        <v>19</v>
      </c>
      <c r="H42">
        <f t="shared" ca="1" si="6"/>
        <v>379924</v>
      </c>
    </row>
    <row r="43" spans="1:8" x14ac:dyDescent="0.3">
      <c r="A43" s="1">
        <v>45699</v>
      </c>
      <c r="B43" t="str">
        <f t="shared" si="0"/>
        <v>ORD042</v>
      </c>
      <c r="C43" t="str">
        <f t="shared" ca="1" si="1"/>
        <v>Electronics</v>
      </c>
      <c r="D43" t="str">
        <f t="shared" ca="1" si="2"/>
        <v>Smartwatch</v>
      </c>
      <c r="E43" t="str">
        <f t="shared" ca="1" si="3"/>
        <v>East</v>
      </c>
      <c r="F43">
        <f t="shared" ca="1" si="4"/>
        <v>60285</v>
      </c>
      <c r="G43">
        <f t="shared" ca="1" si="5"/>
        <v>6</v>
      </c>
      <c r="H43">
        <f t="shared" ca="1" si="6"/>
        <v>361710</v>
      </c>
    </row>
    <row r="44" spans="1:8" x14ac:dyDescent="0.3">
      <c r="A44" s="1">
        <v>45700</v>
      </c>
      <c r="B44" t="str">
        <f t="shared" si="0"/>
        <v>ORD043</v>
      </c>
      <c r="C44" t="str">
        <f t="shared" ca="1" si="1"/>
        <v>Food &amp; Beverages</v>
      </c>
      <c r="D44" t="str">
        <f t="shared" ca="1" si="2"/>
        <v>Tea Pack</v>
      </c>
      <c r="E44" t="str">
        <f t="shared" ca="1" si="3"/>
        <v>West</v>
      </c>
      <c r="F44">
        <f t="shared" ca="1" si="4"/>
        <v>1575</v>
      </c>
      <c r="G44">
        <f t="shared" ca="1" si="5"/>
        <v>16</v>
      </c>
      <c r="H44">
        <f t="shared" ca="1" si="6"/>
        <v>25200</v>
      </c>
    </row>
    <row r="45" spans="1:8" x14ac:dyDescent="0.3">
      <c r="A45" s="1">
        <v>45701</v>
      </c>
      <c r="B45" t="str">
        <f t="shared" si="0"/>
        <v>ORD044</v>
      </c>
      <c r="C45" t="str">
        <f t="shared" ca="1" si="1"/>
        <v>Sports Equipment</v>
      </c>
      <c r="D45" t="str">
        <f t="shared" ca="1" si="2"/>
        <v>Football</v>
      </c>
      <c r="E45" t="str">
        <f t="shared" ca="1" si="3"/>
        <v>East</v>
      </c>
      <c r="F45">
        <f t="shared" ca="1" si="4"/>
        <v>10164</v>
      </c>
      <c r="G45">
        <f t="shared" ca="1" si="5"/>
        <v>8</v>
      </c>
      <c r="H45">
        <f t="shared" ca="1" si="6"/>
        <v>81312</v>
      </c>
    </row>
    <row r="46" spans="1:8" x14ac:dyDescent="0.3">
      <c r="A46" s="1">
        <v>45702</v>
      </c>
      <c r="B46" t="str">
        <f t="shared" si="0"/>
        <v>ORD045</v>
      </c>
      <c r="C46" t="str">
        <f t="shared" ca="1" si="1"/>
        <v>Food &amp; Beverages</v>
      </c>
      <c r="D46" t="str">
        <f t="shared" ca="1" si="2"/>
        <v>Rice Bag</v>
      </c>
      <c r="E46" t="str">
        <f t="shared" ca="1" si="3"/>
        <v>East</v>
      </c>
      <c r="F46">
        <f t="shared" ca="1" si="4"/>
        <v>1070</v>
      </c>
      <c r="G46">
        <f t="shared" ca="1" si="5"/>
        <v>1</v>
      </c>
      <c r="H46">
        <f t="shared" ca="1" si="6"/>
        <v>1070</v>
      </c>
    </row>
    <row r="47" spans="1:8" x14ac:dyDescent="0.3">
      <c r="A47" s="1">
        <v>45703</v>
      </c>
      <c r="B47" t="str">
        <f t="shared" si="0"/>
        <v>ORD046</v>
      </c>
      <c r="C47" t="str">
        <f t="shared" ca="1" si="1"/>
        <v>Clothing</v>
      </c>
      <c r="D47" t="str">
        <f t="shared" ca="1" si="2"/>
        <v>Jeans</v>
      </c>
      <c r="E47" t="str">
        <f t="shared" ca="1" si="3"/>
        <v>East</v>
      </c>
      <c r="F47">
        <f t="shared" ca="1" si="4"/>
        <v>14353</v>
      </c>
      <c r="G47">
        <f t="shared" ca="1" si="5"/>
        <v>18</v>
      </c>
      <c r="H47">
        <f t="shared" ca="1" si="6"/>
        <v>258354</v>
      </c>
    </row>
    <row r="48" spans="1:8" x14ac:dyDescent="0.3">
      <c r="A48" s="1">
        <v>45704</v>
      </c>
      <c r="B48" t="str">
        <f t="shared" si="0"/>
        <v>ORD047</v>
      </c>
      <c r="C48" t="str">
        <f t="shared" ca="1" si="1"/>
        <v>Electronics</v>
      </c>
      <c r="D48" t="str">
        <f t="shared" ca="1" si="2"/>
        <v>Laptop</v>
      </c>
      <c r="E48" t="str">
        <f t="shared" ca="1" si="3"/>
        <v>East</v>
      </c>
      <c r="F48">
        <f t="shared" ca="1" si="4"/>
        <v>60741</v>
      </c>
      <c r="G48">
        <f t="shared" ca="1" si="5"/>
        <v>20</v>
      </c>
      <c r="H48">
        <f t="shared" ca="1" si="6"/>
        <v>1214820</v>
      </c>
    </row>
    <row r="49" spans="1:8" x14ac:dyDescent="0.3">
      <c r="A49" s="1">
        <v>45705</v>
      </c>
      <c r="B49" t="str">
        <f t="shared" si="0"/>
        <v>ORD048</v>
      </c>
      <c r="C49" t="str">
        <f t="shared" ca="1" si="1"/>
        <v>Food &amp; Beverages</v>
      </c>
      <c r="D49" t="str">
        <f t="shared" ca="1" si="2"/>
        <v>Snack Box</v>
      </c>
      <c r="E49" t="str">
        <f t="shared" ca="1" si="3"/>
        <v>North</v>
      </c>
      <c r="F49">
        <f t="shared" ca="1" si="4"/>
        <v>5394</v>
      </c>
      <c r="G49">
        <f t="shared" ca="1" si="5"/>
        <v>26</v>
      </c>
      <c r="H49">
        <f t="shared" ca="1" si="6"/>
        <v>140244</v>
      </c>
    </row>
    <row r="50" spans="1:8" x14ac:dyDescent="0.3">
      <c r="A50" s="1">
        <v>45706</v>
      </c>
      <c r="B50" t="str">
        <f t="shared" si="0"/>
        <v>ORD049</v>
      </c>
      <c r="C50" t="str">
        <f t="shared" ca="1" si="1"/>
        <v>Electronics</v>
      </c>
      <c r="D50" t="str">
        <f t="shared" ca="1" si="2"/>
        <v>Smartphone</v>
      </c>
      <c r="E50" t="str">
        <f t="shared" ca="1" si="3"/>
        <v>North</v>
      </c>
      <c r="F50">
        <f t="shared" ca="1" si="4"/>
        <v>39518</v>
      </c>
      <c r="G50">
        <f t="shared" ca="1" si="5"/>
        <v>5</v>
      </c>
      <c r="H50">
        <f t="shared" ca="1" si="6"/>
        <v>197590</v>
      </c>
    </row>
    <row r="51" spans="1:8" x14ac:dyDescent="0.3">
      <c r="A51" s="1">
        <v>45707</v>
      </c>
      <c r="B51" t="str">
        <f t="shared" si="0"/>
        <v>ORD050</v>
      </c>
      <c r="C51" t="str">
        <f t="shared" ca="1" si="1"/>
        <v>Food &amp; Beverages</v>
      </c>
      <c r="D51" t="str">
        <f t="shared" ca="1" si="2"/>
        <v>Coffee Pack</v>
      </c>
      <c r="E51" t="str">
        <f t="shared" ca="1" si="3"/>
        <v>North</v>
      </c>
      <c r="F51">
        <f t="shared" ca="1" si="4"/>
        <v>8113</v>
      </c>
      <c r="G51">
        <f t="shared" ca="1" si="5"/>
        <v>21</v>
      </c>
      <c r="H51">
        <f t="shared" ca="1" si="6"/>
        <v>170373</v>
      </c>
    </row>
    <row r="52" spans="1:8" x14ac:dyDescent="0.3">
      <c r="A52" s="1">
        <v>45708</v>
      </c>
      <c r="B52" t="str">
        <f t="shared" si="0"/>
        <v>ORD051</v>
      </c>
      <c r="C52" t="str">
        <f t="shared" ca="1" si="1"/>
        <v>Clothing</v>
      </c>
      <c r="D52" t="str">
        <f t="shared" ca="1" si="2"/>
        <v>Jacket</v>
      </c>
      <c r="E52" t="str">
        <f t="shared" ca="1" si="3"/>
        <v>South</v>
      </c>
      <c r="F52">
        <f t="shared" ca="1" si="4"/>
        <v>14432</v>
      </c>
      <c r="G52">
        <f t="shared" ca="1" si="5"/>
        <v>21</v>
      </c>
      <c r="H52">
        <f t="shared" ca="1" si="6"/>
        <v>303072</v>
      </c>
    </row>
    <row r="53" spans="1:8" x14ac:dyDescent="0.3">
      <c r="A53" s="1">
        <v>45709</v>
      </c>
      <c r="B53" t="str">
        <f t="shared" si="0"/>
        <v>ORD052</v>
      </c>
      <c r="C53" t="str">
        <f t="shared" ca="1" si="1"/>
        <v>Furniture</v>
      </c>
      <c r="D53" t="str">
        <f t="shared" ca="1" si="2"/>
        <v>Chair</v>
      </c>
      <c r="E53" t="str">
        <f t="shared" ca="1" si="3"/>
        <v>North</v>
      </c>
      <c r="F53">
        <f t="shared" ca="1" si="4"/>
        <v>7107</v>
      </c>
      <c r="G53">
        <f t="shared" ca="1" si="5"/>
        <v>10</v>
      </c>
      <c r="H53">
        <f t="shared" ca="1" si="6"/>
        <v>71070</v>
      </c>
    </row>
    <row r="54" spans="1:8" x14ac:dyDescent="0.3">
      <c r="A54" s="1">
        <v>45710</v>
      </c>
      <c r="B54" t="str">
        <f t="shared" si="0"/>
        <v>ORD053</v>
      </c>
      <c r="C54" t="str">
        <f t="shared" ca="1" si="1"/>
        <v>Clothing</v>
      </c>
      <c r="D54" t="str">
        <f t="shared" ca="1" si="2"/>
        <v>Jeans</v>
      </c>
      <c r="E54" t="str">
        <f t="shared" ca="1" si="3"/>
        <v>North</v>
      </c>
      <c r="F54">
        <f t="shared" ca="1" si="4"/>
        <v>2823</v>
      </c>
      <c r="G54">
        <f t="shared" ca="1" si="5"/>
        <v>8</v>
      </c>
      <c r="H54">
        <f t="shared" ca="1" si="6"/>
        <v>22584</v>
      </c>
    </row>
    <row r="55" spans="1:8" x14ac:dyDescent="0.3">
      <c r="A55" s="1">
        <v>45711</v>
      </c>
      <c r="B55" t="str">
        <f t="shared" si="0"/>
        <v>ORD054</v>
      </c>
      <c r="C55" t="str">
        <f t="shared" ca="1" si="1"/>
        <v>Clothing</v>
      </c>
      <c r="D55" t="str">
        <f t="shared" ca="1" si="2"/>
        <v>Shoes</v>
      </c>
      <c r="E55" t="str">
        <f t="shared" ca="1" si="3"/>
        <v>South</v>
      </c>
      <c r="F55">
        <f t="shared" ca="1" si="4"/>
        <v>6100</v>
      </c>
      <c r="G55">
        <f t="shared" ca="1" si="5"/>
        <v>5</v>
      </c>
      <c r="H55">
        <f t="shared" ca="1" si="6"/>
        <v>30500</v>
      </c>
    </row>
    <row r="56" spans="1:8" x14ac:dyDescent="0.3">
      <c r="A56" s="1">
        <v>45712</v>
      </c>
      <c r="B56" t="str">
        <f t="shared" si="0"/>
        <v>ORD055</v>
      </c>
      <c r="C56" t="str">
        <f t="shared" ca="1" si="1"/>
        <v>Sports Equipment</v>
      </c>
      <c r="D56" t="str">
        <f t="shared" ca="1" si="2"/>
        <v>Bicycle</v>
      </c>
      <c r="E56" t="str">
        <f t="shared" ca="1" si="3"/>
        <v>North</v>
      </c>
      <c r="F56">
        <f t="shared" ca="1" si="4"/>
        <v>11140</v>
      </c>
      <c r="G56">
        <f t="shared" ca="1" si="5"/>
        <v>23</v>
      </c>
      <c r="H56">
        <f t="shared" ca="1" si="6"/>
        <v>256220</v>
      </c>
    </row>
    <row r="57" spans="1:8" x14ac:dyDescent="0.3">
      <c r="A57" s="1">
        <v>45713</v>
      </c>
      <c r="B57" t="str">
        <f t="shared" si="0"/>
        <v>ORD056</v>
      </c>
      <c r="C57" t="str">
        <f t="shared" ca="1" si="1"/>
        <v>Electronics</v>
      </c>
      <c r="D57" t="str">
        <f t="shared" ca="1" si="2"/>
        <v>Headphones</v>
      </c>
      <c r="E57" t="str">
        <f t="shared" ca="1" si="3"/>
        <v>West</v>
      </c>
      <c r="F57">
        <f t="shared" ca="1" si="4"/>
        <v>76690</v>
      </c>
      <c r="G57">
        <f t="shared" ca="1" si="5"/>
        <v>24</v>
      </c>
      <c r="H57">
        <f t="shared" ca="1" si="6"/>
        <v>1840560</v>
      </c>
    </row>
    <row r="58" spans="1:8" x14ac:dyDescent="0.3">
      <c r="A58" s="1">
        <v>45714</v>
      </c>
      <c r="B58" t="str">
        <f t="shared" si="0"/>
        <v>ORD057</v>
      </c>
      <c r="C58" t="str">
        <f t="shared" ca="1" si="1"/>
        <v>Food &amp; Beverages</v>
      </c>
      <c r="D58" t="str">
        <f t="shared" ca="1" si="2"/>
        <v>Coffee Pack</v>
      </c>
      <c r="E58" t="str">
        <f t="shared" ca="1" si="3"/>
        <v>West</v>
      </c>
      <c r="F58">
        <f t="shared" ca="1" si="4"/>
        <v>3584</v>
      </c>
      <c r="G58">
        <f t="shared" ca="1" si="5"/>
        <v>16</v>
      </c>
      <c r="H58">
        <f t="shared" ca="1" si="6"/>
        <v>57344</v>
      </c>
    </row>
    <row r="59" spans="1:8" x14ac:dyDescent="0.3">
      <c r="A59" s="1">
        <v>45715</v>
      </c>
      <c r="B59" t="str">
        <f t="shared" si="0"/>
        <v>ORD058</v>
      </c>
      <c r="C59" t="str">
        <f t="shared" ca="1" si="1"/>
        <v>Electronics</v>
      </c>
      <c r="D59" t="str">
        <f t="shared" ca="1" si="2"/>
        <v>Tablet</v>
      </c>
      <c r="E59" t="str">
        <f t="shared" ca="1" si="3"/>
        <v>South</v>
      </c>
      <c r="F59">
        <f t="shared" ca="1" si="4"/>
        <v>50238</v>
      </c>
      <c r="G59">
        <f t="shared" ca="1" si="5"/>
        <v>4</v>
      </c>
      <c r="H59">
        <f t="shared" ca="1" si="6"/>
        <v>200952</v>
      </c>
    </row>
    <row r="60" spans="1:8" x14ac:dyDescent="0.3">
      <c r="A60" s="1">
        <v>45716</v>
      </c>
      <c r="B60" t="str">
        <f t="shared" si="0"/>
        <v>ORD059</v>
      </c>
      <c r="C60" t="str">
        <f t="shared" ca="1" si="1"/>
        <v>Clothing</v>
      </c>
      <c r="D60" t="str">
        <f t="shared" ca="1" si="2"/>
        <v>Shoes</v>
      </c>
      <c r="E60" t="str">
        <f t="shared" ca="1" si="3"/>
        <v>North</v>
      </c>
      <c r="F60">
        <f t="shared" ca="1" si="4"/>
        <v>10989</v>
      </c>
      <c r="G60">
        <f t="shared" ca="1" si="5"/>
        <v>11</v>
      </c>
      <c r="H60">
        <f t="shared" ca="1" si="6"/>
        <v>120879</v>
      </c>
    </row>
    <row r="61" spans="1:8" x14ac:dyDescent="0.3">
      <c r="A61" s="1">
        <v>45717</v>
      </c>
      <c r="B61" t="str">
        <f t="shared" si="0"/>
        <v>ORD060</v>
      </c>
      <c r="C61" t="str">
        <f t="shared" ca="1" si="1"/>
        <v>Clothing</v>
      </c>
      <c r="D61" t="str">
        <f t="shared" ca="1" si="2"/>
        <v>Jeans</v>
      </c>
      <c r="E61" t="str">
        <f t="shared" ca="1" si="3"/>
        <v>North</v>
      </c>
      <c r="F61">
        <f t="shared" ca="1" si="4"/>
        <v>13376</v>
      </c>
      <c r="G61">
        <f t="shared" ca="1" si="5"/>
        <v>19</v>
      </c>
      <c r="H61">
        <f t="shared" ca="1" si="6"/>
        <v>254144</v>
      </c>
    </row>
    <row r="62" spans="1:8" x14ac:dyDescent="0.3">
      <c r="A62" s="1">
        <v>45718</v>
      </c>
      <c r="B62" t="str">
        <f t="shared" si="0"/>
        <v>ORD061</v>
      </c>
      <c r="C62" t="str">
        <f t="shared" ca="1" si="1"/>
        <v>Food &amp; Beverages</v>
      </c>
      <c r="D62" t="str">
        <f t="shared" ca="1" si="2"/>
        <v>Coffee Pack</v>
      </c>
      <c r="E62" t="str">
        <f t="shared" ca="1" si="3"/>
        <v>East</v>
      </c>
      <c r="F62">
        <f t="shared" ca="1" si="4"/>
        <v>2367</v>
      </c>
      <c r="G62">
        <f t="shared" ca="1" si="5"/>
        <v>22</v>
      </c>
      <c r="H62">
        <f t="shared" ca="1" si="6"/>
        <v>52074</v>
      </c>
    </row>
    <row r="63" spans="1:8" x14ac:dyDescent="0.3">
      <c r="A63" s="1">
        <v>45719</v>
      </c>
      <c r="B63" t="str">
        <f t="shared" si="0"/>
        <v>ORD062</v>
      </c>
      <c r="C63" t="str">
        <f t="shared" ca="1" si="1"/>
        <v>Furniture</v>
      </c>
      <c r="D63" t="str">
        <f t="shared" ca="1" si="2"/>
        <v>Sofa</v>
      </c>
      <c r="E63" t="str">
        <f t="shared" ca="1" si="3"/>
        <v>East</v>
      </c>
      <c r="F63">
        <f t="shared" ca="1" si="4"/>
        <v>26015</v>
      </c>
      <c r="G63">
        <f t="shared" ca="1" si="5"/>
        <v>11</v>
      </c>
      <c r="H63">
        <f t="shared" ca="1" si="6"/>
        <v>286165</v>
      </c>
    </row>
    <row r="64" spans="1:8" x14ac:dyDescent="0.3">
      <c r="A64" s="1">
        <v>45720</v>
      </c>
      <c r="B64" t="str">
        <f t="shared" si="0"/>
        <v>ORD063</v>
      </c>
      <c r="C64" t="str">
        <f t="shared" ca="1" si="1"/>
        <v>Furniture</v>
      </c>
      <c r="D64" t="str">
        <f t="shared" ca="1" si="2"/>
        <v>Bed</v>
      </c>
      <c r="E64" t="str">
        <f t="shared" ca="1" si="3"/>
        <v>North</v>
      </c>
      <c r="F64">
        <f t="shared" ca="1" si="4"/>
        <v>29695</v>
      </c>
      <c r="G64">
        <f t="shared" ca="1" si="5"/>
        <v>3</v>
      </c>
      <c r="H64">
        <f t="shared" ca="1" si="6"/>
        <v>89085</v>
      </c>
    </row>
    <row r="65" spans="1:8" x14ac:dyDescent="0.3">
      <c r="A65" s="1">
        <v>45721</v>
      </c>
      <c r="B65" t="str">
        <f t="shared" si="0"/>
        <v>ORD064</v>
      </c>
      <c r="C65" t="str">
        <f t="shared" ca="1" si="1"/>
        <v>Stationery</v>
      </c>
      <c r="D65" t="str">
        <f t="shared" ca="1" si="2"/>
        <v>Stapler</v>
      </c>
      <c r="E65" t="str">
        <f t="shared" ca="1" si="3"/>
        <v>West</v>
      </c>
      <c r="F65">
        <f t="shared" ca="1" si="4"/>
        <v>3311</v>
      </c>
      <c r="G65">
        <f t="shared" ca="1" si="5"/>
        <v>7</v>
      </c>
      <c r="H65">
        <f t="shared" ca="1" si="6"/>
        <v>23177</v>
      </c>
    </row>
    <row r="66" spans="1:8" x14ac:dyDescent="0.3">
      <c r="A66" s="1">
        <v>45722</v>
      </c>
      <c r="B66" t="str">
        <f t="shared" si="0"/>
        <v>ORD065</v>
      </c>
      <c r="C66" t="str">
        <f t="shared" ca="1" si="1"/>
        <v>Sports Equipment</v>
      </c>
      <c r="D66" t="str">
        <f t="shared" ca="1" si="2"/>
        <v>Yoga Mat</v>
      </c>
      <c r="E66" t="str">
        <f t="shared" ca="1" si="3"/>
        <v>South</v>
      </c>
      <c r="F66">
        <f t="shared" ca="1" si="4"/>
        <v>9138</v>
      </c>
      <c r="G66">
        <f t="shared" ca="1" si="5"/>
        <v>10</v>
      </c>
      <c r="H66">
        <f t="shared" ca="1" si="6"/>
        <v>91380</v>
      </c>
    </row>
    <row r="67" spans="1:8" x14ac:dyDescent="0.3">
      <c r="A67" s="1">
        <v>45723</v>
      </c>
      <c r="B67" t="str">
        <f t="shared" ref="B67:B130" si="7">"ORD"&amp;TEXT(ROW(A67)-1,"000")</f>
        <v>ORD066</v>
      </c>
      <c r="C67" t="str">
        <f t="shared" ref="C67:C130" ca="1" si="8">CHOOSE(RANDBETWEEN(1,6),"Electronics","Furniture","Clothing","Food &amp; Beverages","Sports Equipment","Stationery")</f>
        <v>Furniture</v>
      </c>
      <c r="D67" t="str">
        <f t="shared" ref="D67:D130" ca="1" si="9">IF(C67="Electronics", CHOOSE(RANDBETWEEN(1,5),"Laptop","Smartphone","Tablet","Headphones","Smartwatch"),
 IF(C67="Furniture", CHOOSE(RANDBETWEEN(1,5),"Chair","Desk","Sofa","Bed","Bookshelf"),
 IF(C67="Clothing", CHOOSE(RANDBETWEEN(1,5),"Jacket","T-Shirt","Jeans","Dress","Shoes"),
 IF(C67="Food &amp; Beverages", CHOOSE(RANDBETWEEN(1,5),"Coffee Pack","Juice Bottle","Snack Box","Rice Bag","Tea Pack"),
 IF(C67="Sports Equipment", CHOOSE(RANDBETWEEN(1,5),"Football","Tennis Racket","Yoga Mat","Dumbbells","Bicycle"),
 IF(C67="Stationery", CHOOSE(RANDBETWEEN(1,5),"Notebook","Pen","Marker","Stapler","File Folder")))))))</f>
        <v>Bed</v>
      </c>
      <c r="E67" t="str">
        <f t="shared" ref="E67:E130" ca="1" si="10">CHOOSE(RANDBETWEEN(1,4),"North","South","East","West")</f>
        <v>South</v>
      </c>
      <c r="F67">
        <f t="shared" ref="F67:F130" ca="1" si="11">IF(C67="Electronics",RANDBETWEEN(20000,80000),
 IF(C67="Furniture",RANDBETWEEN(5000,30000),
 IF(C67="Clothing",RANDBETWEEN(1000,15000),
 IF(C67="Food &amp; Beverages",RANDBETWEEN(500,10000),
 IF(C67="Sports Equipment",RANDBETWEEN(2000,25000),
 IF(C67="Stationery",RANDBETWEEN(100,5000)))))))</f>
        <v>19634</v>
      </c>
      <c r="G67">
        <f t="shared" ref="G67:G130" ca="1" si="12">RANDBETWEEN(1,30)</f>
        <v>10</v>
      </c>
      <c r="H67">
        <f t="shared" ref="H67:H130" ca="1" si="13">F67 * G67</f>
        <v>196340</v>
      </c>
    </row>
    <row r="68" spans="1:8" x14ac:dyDescent="0.3">
      <c r="A68" s="1">
        <v>45724</v>
      </c>
      <c r="B68" t="str">
        <f t="shared" si="7"/>
        <v>ORD067</v>
      </c>
      <c r="C68" t="str">
        <f t="shared" ca="1" si="8"/>
        <v>Stationery</v>
      </c>
      <c r="D68" t="str">
        <f t="shared" ca="1" si="9"/>
        <v>File Folder</v>
      </c>
      <c r="E68" t="str">
        <f t="shared" ca="1" si="10"/>
        <v>East</v>
      </c>
      <c r="F68">
        <f t="shared" ca="1" si="11"/>
        <v>2623</v>
      </c>
      <c r="G68">
        <f t="shared" ca="1" si="12"/>
        <v>20</v>
      </c>
      <c r="H68">
        <f t="shared" ca="1" si="13"/>
        <v>52460</v>
      </c>
    </row>
    <row r="69" spans="1:8" x14ac:dyDescent="0.3">
      <c r="A69" s="1">
        <v>45725</v>
      </c>
      <c r="B69" t="str">
        <f t="shared" si="7"/>
        <v>ORD068</v>
      </c>
      <c r="C69" t="str">
        <f t="shared" ca="1" si="8"/>
        <v>Clothing</v>
      </c>
      <c r="D69" t="str">
        <f t="shared" ca="1" si="9"/>
        <v>Jeans</v>
      </c>
      <c r="E69" t="str">
        <f t="shared" ca="1" si="10"/>
        <v>West</v>
      </c>
      <c r="F69">
        <f t="shared" ca="1" si="11"/>
        <v>9862</v>
      </c>
      <c r="G69">
        <f t="shared" ca="1" si="12"/>
        <v>25</v>
      </c>
      <c r="H69">
        <f t="shared" ca="1" si="13"/>
        <v>246550</v>
      </c>
    </row>
    <row r="70" spans="1:8" x14ac:dyDescent="0.3">
      <c r="A70" s="1">
        <v>45726</v>
      </c>
      <c r="B70" t="str">
        <f t="shared" si="7"/>
        <v>ORD069</v>
      </c>
      <c r="C70" t="str">
        <f t="shared" ca="1" si="8"/>
        <v>Clothing</v>
      </c>
      <c r="D70" t="str">
        <f t="shared" ca="1" si="9"/>
        <v>Jacket</v>
      </c>
      <c r="E70" t="str">
        <f t="shared" ca="1" si="10"/>
        <v>West</v>
      </c>
      <c r="F70">
        <f t="shared" ca="1" si="11"/>
        <v>9356</v>
      </c>
      <c r="G70">
        <f t="shared" ca="1" si="12"/>
        <v>6</v>
      </c>
      <c r="H70">
        <f t="shared" ca="1" si="13"/>
        <v>56136</v>
      </c>
    </row>
    <row r="71" spans="1:8" x14ac:dyDescent="0.3">
      <c r="A71" s="1">
        <v>45727</v>
      </c>
      <c r="B71" t="str">
        <f t="shared" si="7"/>
        <v>ORD070</v>
      </c>
      <c r="C71" t="str">
        <f t="shared" ca="1" si="8"/>
        <v>Sports Equipment</v>
      </c>
      <c r="D71" t="str">
        <f t="shared" ca="1" si="9"/>
        <v>Yoga Mat</v>
      </c>
      <c r="E71" t="str">
        <f t="shared" ca="1" si="10"/>
        <v>East</v>
      </c>
      <c r="F71">
        <f t="shared" ca="1" si="11"/>
        <v>23172</v>
      </c>
      <c r="G71">
        <f t="shared" ca="1" si="12"/>
        <v>19</v>
      </c>
      <c r="H71">
        <f t="shared" ca="1" si="13"/>
        <v>440268</v>
      </c>
    </row>
    <row r="72" spans="1:8" x14ac:dyDescent="0.3">
      <c r="A72" s="1">
        <v>45728</v>
      </c>
      <c r="B72" t="str">
        <f t="shared" si="7"/>
        <v>ORD071</v>
      </c>
      <c r="C72" t="str">
        <f t="shared" ca="1" si="8"/>
        <v>Food &amp; Beverages</v>
      </c>
      <c r="D72" t="str">
        <f t="shared" ca="1" si="9"/>
        <v>Rice Bag</v>
      </c>
      <c r="E72" t="str">
        <f t="shared" ca="1" si="10"/>
        <v>North</v>
      </c>
      <c r="F72">
        <f t="shared" ca="1" si="11"/>
        <v>8622</v>
      </c>
      <c r="G72">
        <f t="shared" ca="1" si="12"/>
        <v>28</v>
      </c>
      <c r="H72">
        <f t="shared" ca="1" si="13"/>
        <v>241416</v>
      </c>
    </row>
    <row r="73" spans="1:8" x14ac:dyDescent="0.3">
      <c r="A73" s="1">
        <v>45729</v>
      </c>
      <c r="B73" t="str">
        <f t="shared" si="7"/>
        <v>ORD072</v>
      </c>
      <c r="C73" t="str">
        <f t="shared" ca="1" si="8"/>
        <v>Stationery</v>
      </c>
      <c r="D73" t="str">
        <f t="shared" ca="1" si="9"/>
        <v>Stapler</v>
      </c>
      <c r="E73" t="str">
        <f t="shared" ca="1" si="10"/>
        <v>South</v>
      </c>
      <c r="F73">
        <f t="shared" ca="1" si="11"/>
        <v>2898</v>
      </c>
      <c r="G73">
        <f t="shared" ca="1" si="12"/>
        <v>23</v>
      </c>
      <c r="H73">
        <f t="shared" ca="1" si="13"/>
        <v>66654</v>
      </c>
    </row>
    <row r="74" spans="1:8" x14ac:dyDescent="0.3">
      <c r="A74" s="1">
        <v>45730</v>
      </c>
      <c r="B74" t="str">
        <f t="shared" si="7"/>
        <v>ORD073</v>
      </c>
      <c r="C74" t="str">
        <f t="shared" ca="1" si="8"/>
        <v>Sports Equipment</v>
      </c>
      <c r="D74" t="str">
        <f t="shared" ca="1" si="9"/>
        <v>Yoga Mat</v>
      </c>
      <c r="E74" t="str">
        <f t="shared" ca="1" si="10"/>
        <v>West</v>
      </c>
      <c r="F74">
        <f t="shared" ca="1" si="11"/>
        <v>19078</v>
      </c>
      <c r="G74">
        <f t="shared" ca="1" si="12"/>
        <v>21</v>
      </c>
      <c r="H74">
        <f t="shared" ca="1" si="13"/>
        <v>400638</v>
      </c>
    </row>
    <row r="75" spans="1:8" x14ac:dyDescent="0.3">
      <c r="A75" s="1">
        <v>45731</v>
      </c>
      <c r="B75" t="str">
        <f t="shared" si="7"/>
        <v>ORD074</v>
      </c>
      <c r="C75" t="str">
        <f t="shared" ca="1" si="8"/>
        <v>Stationery</v>
      </c>
      <c r="D75" t="str">
        <f t="shared" ca="1" si="9"/>
        <v>Pen</v>
      </c>
      <c r="E75" t="str">
        <f t="shared" ca="1" si="10"/>
        <v>East</v>
      </c>
      <c r="F75">
        <f t="shared" ca="1" si="11"/>
        <v>1855</v>
      </c>
      <c r="G75">
        <f t="shared" ca="1" si="12"/>
        <v>22</v>
      </c>
      <c r="H75">
        <f t="shared" ca="1" si="13"/>
        <v>40810</v>
      </c>
    </row>
    <row r="76" spans="1:8" x14ac:dyDescent="0.3">
      <c r="A76" s="1">
        <v>45732</v>
      </c>
      <c r="B76" t="str">
        <f t="shared" si="7"/>
        <v>ORD075</v>
      </c>
      <c r="C76" t="str">
        <f t="shared" ca="1" si="8"/>
        <v>Food &amp; Beverages</v>
      </c>
      <c r="D76" t="str">
        <f t="shared" ca="1" si="9"/>
        <v>Rice Bag</v>
      </c>
      <c r="E76" t="str">
        <f t="shared" ca="1" si="10"/>
        <v>East</v>
      </c>
      <c r="F76">
        <f t="shared" ca="1" si="11"/>
        <v>1444</v>
      </c>
      <c r="G76">
        <f t="shared" ca="1" si="12"/>
        <v>21</v>
      </c>
      <c r="H76">
        <f t="shared" ca="1" si="13"/>
        <v>30324</v>
      </c>
    </row>
    <row r="77" spans="1:8" x14ac:dyDescent="0.3">
      <c r="A77" s="1">
        <v>45733</v>
      </c>
      <c r="B77" t="str">
        <f t="shared" si="7"/>
        <v>ORD076</v>
      </c>
      <c r="C77" t="str">
        <f t="shared" ca="1" si="8"/>
        <v>Stationery</v>
      </c>
      <c r="D77" t="str">
        <f t="shared" ca="1" si="9"/>
        <v>Notebook</v>
      </c>
      <c r="E77" t="str">
        <f t="shared" ca="1" si="10"/>
        <v>East</v>
      </c>
      <c r="F77">
        <f t="shared" ca="1" si="11"/>
        <v>2970</v>
      </c>
      <c r="G77">
        <f t="shared" ca="1" si="12"/>
        <v>4</v>
      </c>
      <c r="H77">
        <f t="shared" ca="1" si="13"/>
        <v>11880</v>
      </c>
    </row>
    <row r="78" spans="1:8" x14ac:dyDescent="0.3">
      <c r="A78" s="1">
        <v>45734</v>
      </c>
      <c r="B78" t="str">
        <f t="shared" si="7"/>
        <v>ORD077</v>
      </c>
      <c r="C78" t="str">
        <f t="shared" ca="1" si="8"/>
        <v>Furniture</v>
      </c>
      <c r="D78" t="str">
        <f t="shared" ca="1" si="9"/>
        <v>Chair</v>
      </c>
      <c r="E78" t="str">
        <f t="shared" ca="1" si="10"/>
        <v>West</v>
      </c>
      <c r="F78">
        <f t="shared" ca="1" si="11"/>
        <v>13552</v>
      </c>
      <c r="G78">
        <f t="shared" ca="1" si="12"/>
        <v>2</v>
      </c>
      <c r="H78">
        <f t="shared" ca="1" si="13"/>
        <v>27104</v>
      </c>
    </row>
    <row r="79" spans="1:8" x14ac:dyDescent="0.3">
      <c r="A79" s="1">
        <v>45735</v>
      </c>
      <c r="B79" t="str">
        <f t="shared" si="7"/>
        <v>ORD078</v>
      </c>
      <c r="C79" t="str">
        <f t="shared" ca="1" si="8"/>
        <v>Food &amp; Beverages</v>
      </c>
      <c r="D79" t="str">
        <f t="shared" ca="1" si="9"/>
        <v>Coffee Pack</v>
      </c>
      <c r="E79" t="str">
        <f t="shared" ca="1" si="10"/>
        <v>South</v>
      </c>
      <c r="F79">
        <f t="shared" ca="1" si="11"/>
        <v>5364</v>
      </c>
      <c r="G79">
        <f t="shared" ca="1" si="12"/>
        <v>11</v>
      </c>
      <c r="H79">
        <f t="shared" ca="1" si="13"/>
        <v>59004</v>
      </c>
    </row>
    <row r="80" spans="1:8" x14ac:dyDescent="0.3">
      <c r="A80" s="1">
        <v>45736</v>
      </c>
      <c r="B80" t="str">
        <f t="shared" si="7"/>
        <v>ORD079</v>
      </c>
      <c r="C80" t="str">
        <f t="shared" ca="1" si="8"/>
        <v>Electronics</v>
      </c>
      <c r="D80" t="str">
        <f t="shared" ca="1" si="9"/>
        <v>Smartphone</v>
      </c>
      <c r="E80" t="str">
        <f t="shared" ca="1" si="10"/>
        <v>West</v>
      </c>
      <c r="F80">
        <f t="shared" ca="1" si="11"/>
        <v>37614</v>
      </c>
      <c r="G80">
        <f t="shared" ca="1" si="12"/>
        <v>16</v>
      </c>
      <c r="H80">
        <f t="shared" ca="1" si="13"/>
        <v>601824</v>
      </c>
    </row>
    <row r="81" spans="1:8" x14ac:dyDescent="0.3">
      <c r="A81" s="1">
        <v>45737</v>
      </c>
      <c r="B81" t="str">
        <f t="shared" si="7"/>
        <v>ORD080</v>
      </c>
      <c r="C81" t="str">
        <f t="shared" ca="1" si="8"/>
        <v>Food &amp; Beverages</v>
      </c>
      <c r="D81" t="str">
        <f t="shared" ca="1" si="9"/>
        <v>Coffee Pack</v>
      </c>
      <c r="E81" t="str">
        <f t="shared" ca="1" si="10"/>
        <v>East</v>
      </c>
      <c r="F81">
        <f t="shared" ca="1" si="11"/>
        <v>6012</v>
      </c>
      <c r="G81">
        <f t="shared" ca="1" si="12"/>
        <v>26</v>
      </c>
      <c r="H81">
        <f t="shared" ca="1" si="13"/>
        <v>156312</v>
      </c>
    </row>
    <row r="82" spans="1:8" x14ac:dyDescent="0.3">
      <c r="A82" s="1">
        <v>45738</v>
      </c>
      <c r="B82" t="str">
        <f t="shared" si="7"/>
        <v>ORD081</v>
      </c>
      <c r="C82" t="str">
        <f t="shared" ca="1" si="8"/>
        <v>Clothing</v>
      </c>
      <c r="D82" t="str">
        <f t="shared" ca="1" si="9"/>
        <v>T-Shirt</v>
      </c>
      <c r="E82" t="str">
        <f t="shared" ca="1" si="10"/>
        <v>North</v>
      </c>
      <c r="F82">
        <f t="shared" ca="1" si="11"/>
        <v>13215</v>
      </c>
      <c r="G82">
        <f t="shared" ca="1" si="12"/>
        <v>30</v>
      </c>
      <c r="H82">
        <f t="shared" ca="1" si="13"/>
        <v>396450</v>
      </c>
    </row>
    <row r="83" spans="1:8" x14ac:dyDescent="0.3">
      <c r="A83" s="1">
        <v>45739</v>
      </c>
      <c r="B83" t="str">
        <f t="shared" si="7"/>
        <v>ORD082</v>
      </c>
      <c r="C83" t="str">
        <f t="shared" ca="1" si="8"/>
        <v>Sports Equipment</v>
      </c>
      <c r="D83" t="str">
        <f t="shared" ca="1" si="9"/>
        <v>Tennis Racket</v>
      </c>
      <c r="E83" t="str">
        <f t="shared" ca="1" si="10"/>
        <v>West</v>
      </c>
      <c r="F83">
        <f t="shared" ca="1" si="11"/>
        <v>21090</v>
      </c>
      <c r="G83">
        <f t="shared" ca="1" si="12"/>
        <v>10</v>
      </c>
      <c r="H83">
        <f t="shared" ca="1" si="13"/>
        <v>210900</v>
      </c>
    </row>
    <row r="84" spans="1:8" x14ac:dyDescent="0.3">
      <c r="A84" s="1">
        <v>45740</v>
      </c>
      <c r="B84" t="str">
        <f t="shared" si="7"/>
        <v>ORD083</v>
      </c>
      <c r="C84" t="str">
        <f t="shared" ca="1" si="8"/>
        <v>Stationery</v>
      </c>
      <c r="D84" t="str">
        <f t="shared" ca="1" si="9"/>
        <v>Stapler</v>
      </c>
      <c r="E84" t="str">
        <f t="shared" ca="1" si="10"/>
        <v>North</v>
      </c>
      <c r="F84">
        <f t="shared" ca="1" si="11"/>
        <v>3514</v>
      </c>
      <c r="G84">
        <f t="shared" ca="1" si="12"/>
        <v>30</v>
      </c>
      <c r="H84">
        <f t="shared" ca="1" si="13"/>
        <v>105420</v>
      </c>
    </row>
    <row r="85" spans="1:8" x14ac:dyDescent="0.3">
      <c r="A85" s="1">
        <v>45741</v>
      </c>
      <c r="B85" t="str">
        <f t="shared" si="7"/>
        <v>ORD084</v>
      </c>
      <c r="C85" t="str">
        <f t="shared" ca="1" si="8"/>
        <v>Furniture</v>
      </c>
      <c r="D85" t="str">
        <f t="shared" ca="1" si="9"/>
        <v>Desk</v>
      </c>
      <c r="E85" t="str">
        <f t="shared" ca="1" si="10"/>
        <v>West</v>
      </c>
      <c r="F85">
        <f t="shared" ca="1" si="11"/>
        <v>11219</v>
      </c>
      <c r="G85">
        <f t="shared" ca="1" si="12"/>
        <v>26</v>
      </c>
      <c r="H85">
        <f t="shared" ca="1" si="13"/>
        <v>291694</v>
      </c>
    </row>
    <row r="86" spans="1:8" x14ac:dyDescent="0.3">
      <c r="A86" s="1">
        <v>45742</v>
      </c>
      <c r="B86" t="str">
        <f t="shared" si="7"/>
        <v>ORD085</v>
      </c>
      <c r="C86" t="str">
        <f t="shared" ca="1" si="8"/>
        <v>Sports Equipment</v>
      </c>
      <c r="D86" t="str">
        <f t="shared" ca="1" si="9"/>
        <v>Bicycle</v>
      </c>
      <c r="E86" t="str">
        <f t="shared" ca="1" si="10"/>
        <v>East</v>
      </c>
      <c r="F86">
        <f t="shared" ca="1" si="11"/>
        <v>21763</v>
      </c>
      <c r="G86">
        <f t="shared" ca="1" si="12"/>
        <v>10</v>
      </c>
      <c r="H86">
        <f t="shared" ca="1" si="13"/>
        <v>217630</v>
      </c>
    </row>
    <row r="87" spans="1:8" x14ac:dyDescent="0.3">
      <c r="A87" s="1">
        <v>45743</v>
      </c>
      <c r="B87" t="str">
        <f t="shared" si="7"/>
        <v>ORD086</v>
      </c>
      <c r="C87" t="str">
        <f t="shared" ca="1" si="8"/>
        <v>Furniture</v>
      </c>
      <c r="D87" t="str">
        <f t="shared" ca="1" si="9"/>
        <v>Desk</v>
      </c>
      <c r="E87" t="str">
        <f t="shared" ca="1" si="10"/>
        <v>North</v>
      </c>
      <c r="F87">
        <f t="shared" ca="1" si="11"/>
        <v>5200</v>
      </c>
      <c r="G87">
        <f t="shared" ca="1" si="12"/>
        <v>16</v>
      </c>
      <c r="H87">
        <f t="shared" ca="1" si="13"/>
        <v>83200</v>
      </c>
    </row>
    <row r="88" spans="1:8" x14ac:dyDescent="0.3">
      <c r="A88" s="1">
        <v>45744</v>
      </c>
      <c r="B88" t="str">
        <f t="shared" si="7"/>
        <v>ORD087</v>
      </c>
      <c r="C88" t="str">
        <f t="shared" ca="1" si="8"/>
        <v>Clothing</v>
      </c>
      <c r="D88" t="str">
        <f t="shared" ca="1" si="9"/>
        <v>Shoes</v>
      </c>
      <c r="E88" t="str">
        <f t="shared" ca="1" si="10"/>
        <v>East</v>
      </c>
      <c r="F88">
        <f t="shared" ca="1" si="11"/>
        <v>1155</v>
      </c>
      <c r="G88">
        <f t="shared" ca="1" si="12"/>
        <v>13</v>
      </c>
      <c r="H88">
        <f t="shared" ca="1" si="13"/>
        <v>15015</v>
      </c>
    </row>
    <row r="89" spans="1:8" x14ac:dyDescent="0.3">
      <c r="A89" s="1">
        <v>45745</v>
      </c>
      <c r="B89" t="str">
        <f t="shared" si="7"/>
        <v>ORD088</v>
      </c>
      <c r="C89" t="str">
        <f t="shared" ca="1" si="8"/>
        <v>Furniture</v>
      </c>
      <c r="D89" t="str">
        <f t="shared" ca="1" si="9"/>
        <v>Desk</v>
      </c>
      <c r="E89" t="str">
        <f t="shared" ca="1" si="10"/>
        <v>West</v>
      </c>
      <c r="F89">
        <f t="shared" ca="1" si="11"/>
        <v>10542</v>
      </c>
      <c r="G89">
        <f t="shared" ca="1" si="12"/>
        <v>16</v>
      </c>
      <c r="H89">
        <f t="shared" ca="1" si="13"/>
        <v>168672</v>
      </c>
    </row>
    <row r="90" spans="1:8" x14ac:dyDescent="0.3">
      <c r="A90" s="1">
        <v>45746</v>
      </c>
      <c r="B90" t="str">
        <f t="shared" si="7"/>
        <v>ORD089</v>
      </c>
      <c r="C90" t="str">
        <f t="shared" ca="1" si="8"/>
        <v>Clothing</v>
      </c>
      <c r="D90" t="str">
        <f t="shared" ca="1" si="9"/>
        <v>Shoes</v>
      </c>
      <c r="E90" t="str">
        <f t="shared" ca="1" si="10"/>
        <v>East</v>
      </c>
      <c r="F90">
        <f t="shared" ca="1" si="11"/>
        <v>5204</v>
      </c>
      <c r="G90">
        <f t="shared" ca="1" si="12"/>
        <v>23</v>
      </c>
      <c r="H90">
        <f t="shared" ca="1" si="13"/>
        <v>119692</v>
      </c>
    </row>
    <row r="91" spans="1:8" x14ac:dyDescent="0.3">
      <c r="A91" s="1">
        <v>45747</v>
      </c>
      <c r="B91" t="str">
        <f t="shared" si="7"/>
        <v>ORD090</v>
      </c>
      <c r="C91" t="str">
        <f t="shared" ca="1" si="8"/>
        <v>Food &amp; Beverages</v>
      </c>
      <c r="D91" t="str">
        <f t="shared" ca="1" si="9"/>
        <v>Snack Box</v>
      </c>
      <c r="E91" t="str">
        <f t="shared" ca="1" si="10"/>
        <v>South</v>
      </c>
      <c r="F91">
        <f t="shared" ca="1" si="11"/>
        <v>1049</v>
      </c>
      <c r="G91">
        <f t="shared" ca="1" si="12"/>
        <v>2</v>
      </c>
      <c r="H91">
        <f t="shared" ca="1" si="13"/>
        <v>2098</v>
      </c>
    </row>
    <row r="92" spans="1:8" x14ac:dyDescent="0.3">
      <c r="A92" s="1">
        <v>45748</v>
      </c>
      <c r="B92" t="str">
        <f t="shared" si="7"/>
        <v>ORD091</v>
      </c>
      <c r="C92" t="str">
        <f t="shared" ca="1" si="8"/>
        <v>Sports Equipment</v>
      </c>
      <c r="D92" t="str">
        <f t="shared" ca="1" si="9"/>
        <v>Yoga Mat</v>
      </c>
      <c r="E92" t="str">
        <f t="shared" ca="1" si="10"/>
        <v>South</v>
      </c>
      <c r="F92">
        <f t="shared" ca="1" si="11"/>
        <v>16186</v>
      </c>
      <c r="G92">
        <f t="shared" ca="1" si="12"/>
        <v>19</v>
      </c>
      <c r="H92">
        <f t="shared" ca="1" si="13"/>
        <v>307534</v>
      </c>
    </row>
    <row r="93" spans="1:8" x14ac:dyDescent="0.3">
      <c r="A93" s="1">
        <v>45749</v>
      </c>
      <c r="B93" t="str">
        <f t="shared" si="7"/>
        <v>ORD092</v>
      </c>
      <c r="C93" t="str">
        <f t="shared" ca="1" si="8"/>
        <v>Sports Equipment</v>
      </c>
      <c r="D93" t="str">
        <f t="shared" ca="1" si="9"/>
        <v>Football</v>
      </c>
      <c r="E93" t="str">
        <f t="shared" ca="1" si="10"/>
        <v>South</v>
      </c>
      <c r="F93">
        <f t="shared" ca="1" si="11"/>
        <v>2681</v>
      </c>
      <c r="G93">
        <f t="shared" ca="1" si="12"/>
        <v>29</v>
      </c>
      <c r="H93">
        <f t="shared" ca="1" si="13"/>
        <v>77749</v>
      </c>
    </row>
    <row r="94" spans="1:8" x14ac:dyDescent="0.3">
      <c r="A94" s="1">
        <v>45750</v>
      </c>
      <c r="B94" t="str">
        <f t="shared" si="7"/>
        <v>ORD093</v>
      </c>
      <c r="C94" t="str">
        <f t="shared" ca="1" si="8"/>
        <v>Sports Equipment</v>
      </c>
      <c r="D94" t="str">
        <f t="shared" ca="1" si="9"/>
        <v>Dumbbells</v>
      </c>
      <c r="E94" t="str">
        <f t="shared" ca="1" si="10"/>
        <v>East</v>
      </c>
      <c r="F94">
        <f t="shared" ca="1" si="11"/>
        <v>23374</v>
      </c>
      <c r="G94">
        <f t="shared" ca="1" si="12"/>
        <v>20</v>
      </c>
      <c r="H94">
        <f t="shared" ca="1" si="13"/>
        <v>467480</v>
      </c>
    </row>
    <row r="95" spans="1:8" x14ac:dyDescent="0.3">
      <c r="A95" s="1">
        <v>45751</v>
      </c>
      <c r="B95" t="str">
        <f t="shared" si="7"/>
        <v>ORD094</v>
      </c>
      <c r="C95" t="str">
        <f t="shared" ca="1" si="8"/>
        <v>Electronics</v>
      </c>
      <c r="D95" t="str">
        <f t="shared" ca="1" si="9"/>
        <v>Smartphone</v>
      </c>
      <c r="E95" t="str">
        <f t="shared" ca="1" si="10"/>
        <v>North</v>
      </c>
      <c r="F95">
        <f t="shared" ca="1" si="11"/>
        <v>25559</v>
      </c>
      <c r="G95">
        <f t="shared" ca="1" si="12"/>
        <v>4</v>
      </c>
      <c r="H95">
        <f t="shared" ca="1" si="13"/>
        <v>102236</v>
      </c>
    </row>
    <row r="96" spans="1:8" x14ac:dyDescent="0.3">
      <c r="A96" s="1">
        <v>45752</v>
      </c>
      <c r="B96" t="str">
        <f t="shared" si="7"/>
        <v>ORD095</v>
      </c>
      <c r="C96" t="str">
        <f t="shared" ca="1" si="8"/>
        <v>Sports Equipment</v>
      </c>
      <c r="D96" t="str">
        <f t="shared" ca="1" si="9"/>
        <v>Football</v>
      </c>
      <c r="E96" t="str">
        <f t="shared" ca="1" si="10"/>
        <v>North</v>
      </c>
      <c r="F96">
        <f t="shared" ca="1" si="11"/>
        <v>8715</v>
      </c>
      <c r="G96">
        <f t="shared" ca="1" si="12"/>
        <v>2</v>
      </c>
      <c r="H96">
        <f t="shared" ca="1" si="13"/>
        <v>17430</v>
      </c>
    </row>
    <row r="97" spans="1:8" x14ac:dyDescent="0.3">
      <c r="A97" s="1">
        <v>45753</v>
      </c>
      <c r="B97" t="str">
        <f t="shared" si="7"/>
        <v>ORD096</v>
      </c>
      <c r="C97" t="str">
        <f t="shared" ca="1" si="8"/>
        <v>Food &amp; Beverages</v>
      </c>
      <c r="D97" t="str">
        <f t="shared" ca="1" si="9"/>
        <v>Rice Bag</v>
      </c>
      <c r="E97" t="str">
        <f t="shared" ca="1" si="10"/>
        <v>East</v>
      </c>
      <c r="F97">
        <f t="shared" ca="1" si="11"/>
        <v>5936</v>
      </c>
      <c r="G97">
        <f t="shared" ca="1" si="12"/>
        <v>26</v>
      </c>
      <c r="H97">
        <f t="shared" ca="1" si="13"/>
        <v>154336</v>
      </c>
    </row>
    <row r="98" spans="1:8" x14ac:dyDescent="0.3">
      <c r="A98" s="1">
        <v>45754</v>
      </c>
      <c r="B98" t="str">
        <f t="shared" si="7"/>
        <v>ORD097</v>
      </c>
      <c r="C98" t="str">
        <f t="shared" ca="1" si="8"/>
        <v>Sports Equipment</v>
      </c>
      <c r="D98" t="str">
        <f t="shared" ca="1" si="9"/>
        <v>Tennis Racket</v>
      </c>
      <c r="E98" t="str">
        <f t="shared" ca="1" si="10"/>
        <v>North</v>
      </c>
      <c r="F98">
        <f t="shared" ca="1" si="11"/>
        <v>16578</v>
      </c>
      <c r="G98">
        <f t="shared" ca="1" si="12"/>
        <v>4</v>
      </c>
      <c r="H98">
        <f t="shared" ca="1" si="13"/>
        <v>66312</v>
      </c>
    </row>
    <row r="99" spans="1:8" x14ac:dyDescent="0.3">
      <c r="A99" s="1">
        <v>45755</v>
      </c>
      <c r="B99" t="str">
        <f t="shared" si="7"/>
        <v>ORD098</v>
      </c>
      <c r="C99" t="str">
        <f t="shared" ca="1" si="8"/>
        <v>Clothing</v>
      </c>
      <c r="D99" t="str">
        <f t="shared" ca="1" si="9"/>
        <v>Jacket</v>
      </c>
      <c r="E99" t="str">
        <f t="shared" ca="1" si="10"/>
        <v>East</v>
      </c>
      <c r="F99">
        <f t="shared" ca="1" si="11"/>
        <v>14089</v>
      </c>
      <c r="G99">
        <f t="shared" ca="1" si="12"/>
        <v>29</v>
      </c>
      <c r="H99">
        <f t="shared" ca="1" si="13"/>
        <v>408581</v>
      </c>
    </row>
    <row r="100" spans="1:8" x14ac:dyDescent="0.3">
      <c r="A100" s="1">
        <v>45756</v>
      </c>
      <c r="B100" t="str">
        <f t="shared" si="7"/>
        <v>ORD099</v>
      </c>
      <c r="C100" t="str">
        <f t="shared" ca="1" si="8"/>
        <v>Sports Equipment</v>
      </c>
      <c r="D100" t="str">
        <f t="shared" ca="1" si="9"/>
        <v>Yoga Mat</v>
      </c>
      <c r="E100" t="str">
        <f t="shared" ca="1" si="10"/>
        <v>South</v>
      </c>
      <c r="F100">
        <f t="shared" ca="1" si="11"/>
        <v>12539</v>
      </c>
      <c r="G100">
        <f t="shared" ca="1" si="12"/>
        <v>19</v>
      </c>
      <c r="H100">
        <f t="shared" ca="1" si="13"/>
        <v>238241</v>
      </c>
    </row>
    <row r="101" spans="1:8" x14ac:dyDescent="0.3">
      <c r="A101" s="1">
        <v>45757</v>
      </c>
      <c r="B101" t="str">
        <f t="shared" si="7"/>
        <v>ORD100</v>
      </c>
      <c r="C101" t="str">
        <f t="shared" ca="1" si="8"/>
        <v>Clothing</v>
      </c>
      <c r="D101" t="str">
        <f t="shared" ca="1" si="9"/>
        <v>T-Shirt</v>
      </c>
      <c r="E101" t="str">
        <f t="shared" ca="1" si="10"/>
        <v>East</v>
      </c>
      <c r="F101">
        <f t="shared" ca="1" si="11"/>
        <v>8011</v>
      </c>
      <c r="G101">
        <f t="shared" ca="1" si="12"/>
        <v>29</v>
      </c>
      <c r="H101">
        <f t="shared" ca="1" si="13"/>
        <v>232319</v>
      </c>
    </row>
    <row r="102" spans="1:8" x14ac:dyDescent="0.3">
      <c r="A102" s="1">
        <v>45758</v>
      </c>
      <c r="B102" t="str">
        <f t="shared" si="7"/>
        <v>ORD101</v>
      </c>
      <c r="C102" t="str">
        <f t="shared" ca="1" si="8"/>
        <v>Stationery</v>
      </c>
      <c r="D102" t="str">
        <f t="shared" ca="1" si="9"/>
        <v>Stapler</v>
      </c>
      <c r="E102" t="str">
        <f t="shared" ca="1" si="10"/>
        <v>North</v>
      </c>
      <c r="F102">
        <f t="shared" ca="1" si="11"/>
        <v>506</v>
      </c>
      <c r="G102">
        <f t="shared" ca="1" si="12"/>
        <v>2</v>
      </c>
      <c r="H102">
        <f t="shared" ca="1" si="13"/>
        <v>1012</v>
      </c>
    </row>
    <row r="103" spans="1:8" x14ac:dyDescent="0.3">
      <c r="A103" s="1">
        <v>45759</v>
      </c>
      <c r="B103" t="str">
        <f t="shared" si="7"/>
        <v>ORD102</v>
      </c>
      <c r="C103" t="str">
        <f t="shared" ca="1" si="8"/>
        <v>Clothing</v>
      </c>
      <c r="D103" t="str">
        <f t="shared" ca="1" si="9"/>
        <v>T-Shirt</v>
      </c>
      <c r="E103" t="str">
        <f t="shared" ca="1" si="10"/>
        <v>North</v>
      </c>
      <c r="F103">
        <f t="shared" ca="1" si="11"/>
        <v>2581</v>
      </c>
      <c r="G103">
        <f t="shared" ca="1" si="12"/>
        <v>11</v>
      </c>
      <c r="H103">
        <f t="shared" ca="1" si="13"/>
        <v>28391</v>
      </c>
    </row>
    <row r="104" spans="1:8" x14ac:dyDescent="0.3">
      <c r="A104" s="1">
        <v>45760</v>
      </c>
      <c r="B104" t="str">
        <f t="shared" si="7"/>
        <v>ORD103</v>
      </c>
      <c r="C104" t="str">
        <f t="shared" ca="1" si="8"/>
        <v>Clothing</v>
      </c>
      <c r="D104" t="str">
        <f t="shared" ca="1" si="9"/>
        <v>Dress</v>
      </c>
      <c r="E104" t="str">
        <f t="shared" ca="1" si="10"/>
        <v>North</v>
      </c>
      <c r="F104">
        <f t="shared" ca="1" si="11"/>
        <v>9716</v>
      </c>
      <c r="G104">
        <f t="shared" ca="1" si="12"/>
        <v>10</v>
      </c>
      <c r="H104">
        <f t="shared" ca="1" si="13"/>
        <v>97160</v>
      </c>
    </row>
    <row r="105" spans="1:8" x14ac:dyDescent="0.3">
      <c r="A105" s="1">
        <v>45761</v>
      </c>
      <c r="B105" t="str">
        <f t="shared" si="7"/>
        <v>ORD104</v>
      </c>
      <c r="C105" t="str">
        <f t="shared" ca="1" si="8"/>
        <v>Electronics</v>
      </c>
      <c r="D105" t="str">
        <f t="shared" ca="1" si="9"/>
        <v>Headphones</v>
      </c>
      <c r="E105" t="str">
        <f t="shared" ca="1" si="10"/>
        <v>East</v>
      </c>
      <c r="F105">
        <f t="shared" ca="1" si="11"/>
        <v>56628</v>
      </c>
      <c r="G105">
        <f t="shared" ca="1" si="12"/>
        <v>2</v>
      </c>
      <c r="H105">
        <f t="shared" ca="1" si="13"/>
        <v>113256</v>
      </c>
    </row>
    <row r="106" spans="1:8" x14ac:dyDescent="0.3">
      <c r="A106" s="1">
        <v>45762</v>
      </c>
      <c r="B106" t="str">
        <f t="shared" si="7"/>
        <v>ORD105</v>
      </c>
      <c r="C106" t="str">
        <f t="shared" ca="1" si="8"/>
        <v>Stationery</v>
      </c>
      <c r="D106" t="str">
        <f t="shared" ca="1" si="9"/>
        <v>Notebook</v>
      </c>
      <c r="E106" t="str">
        <f t="shared" ca="1" si="10"/>
        <v>North</v>
      </c>
      <c r="F106">
        <f t="shared" ca="1" si="11"/>
        <v>1324</v>
      </c>
      <c r="G106">
        <f t="shared" ca="1" si="12"/>
        <v>29</v>
      </c>
      <c r="H106">
        <f t="shared" ca="1" si="13"/>
        <v>38396</v>
      </c>
    </row>
    <row r="107" spans="1:8" x14ac:dyDescent="0.3">
      <c r="A107" s="1">
        <v>45763</v>
      </c>
      <c r="B107" t="str">
        <f t="shared" si="7"/>
        <v>ORD106</v>
      </c>
      <c r="C107" t="str">
        <f t="shared" ca="1" si="8"/>
        <v>Furniture</v>
      </c>
      <c r="D107" t="str">
        <f t="shared" ca="1" si="9"/>
        <v>Sofa</v>
      </c>
      <c r="E107" t="str">
        <f t="shared" ca="1" si="10"/>
        <v>South</v>
      </c>
      <c r="F107">
        <f t="shared" ca="1" si="11"/>
        <v>19265</v>
      </c>
      <c r="G107">
        <f t="shared" ca="1" si="12"/>
        <v>11</v>
      </c>
      <c r="H107">
        <f t="shared" ca="1" si="13"/>
        <v>211915</v>
      </c>
    </row>
    <row r="108" spans="1:8" x14ac:dyDescent="0.3">
      <c r="A108" s="1">
        <v>45764</v>
      </c>
      <c r="B108" t="str">
        <f t="shared" si="7"/>
        <v>ORD107</v>
      </c>
      <c r="C108" t="str">
        <f t="shared" ca="1" si="8"/>
        <v>Electronics</v>
      </c>
      <c r="D108" t="str">
        <f t="shared" ca="1" si="9"/>
        <v>Smartwatch</v>
      </c>
      <c r="E108" t="str">
        <f t="shared" ca="1" si="10"/>
        <v>West</v>
      </c>
      <c r="F108">
        <f t="shared" ca="1" si="11"/>
        <v>66295</v>
      </c>
      <c r="G108">
        <f t="shared" ca="1" si="12"/>
        <v>2</v>
      </c>
      <c r="H108">
        <f t="shared" ca="1" si="13"/>
        <v>132590</v>
      </c>
    </row>
    <row r="109" spans="1:8" x14ac:dyDescent="0.3">
      <c r="A109" s="1">
        <v>45765</v>
      </c>
      <c r="B109" t="str">
        <f t="shared" si="7"/>
        <v>ORD108</v>
      </c>
      <c r="C109" t="str">
        <f t="shared" ca="1" si="8"/>
        <v>Stationery</v>
      </c>
      <c r="D109" t="str">
        <f t="shared" ca="1" si="9"/>
        <v>File Folder</v>
      </c>
      <c r="E109" t="str">
        <f t="shared" ca="1" si="10"/>
        <v>South</v>
      </c>
      <c r="F109">
        <f t="shared" ca="1" si="11"/>
        <v>3202</v>
      </c>
      <c r="G109">
        <f t="shared" ca="1" si="12"/>
        <v>17</v>
      </c>
      <c r="H109">
        <f t="shared" ca="1" si="13"/>
        <v>54434</v>
      </c>
    </row>
    <row r="110" spans="1:8" x14ac:dyDescent="0.3">
      <c r="A110" s="1">
        <v>45766</v>
      </c>
      <c r="B110" t="str">
        <f t="shared" si="7"/>
        <v>ORD109</v>
      </c>
      <c r="C110" t="str">
        <f t="shared" ca="1" si="8"/>
        <v>Food &amp; Beverages</v>
      </c>
      <c r="D110" t="str">
        <f t="shared" ca="1" si="9"/>
        <v>Snack Box</v>
      </c>
      <c r="E110" t="str">
        <f t="shared" ca="1" si="10"/>
        <v>East</v>
      </c>
      <c r="F110">
        <f t="shared" ca="1" si="11"/>
        <v>953</v>
      </c>
      <c r="G110">
        <f t="shared" ca="1" si="12"/>
        <v>18</v>
      </c>
      <c r="H110">
        <f t="shared" ca="1" si="13"/>
        <v>17154</v>
      </c>
    </row>
    <row r="111" spans="1:8" x14ac:dyDescent="0.3">
      <c r="A111" s="1">
        <v>45767</v>
      </c>
      <c r="B111" t="str">
        <f t="shared" si="7"/>
        <v>ORD110</v>
      </c>
      <c r="C111" t="str">
        <f t="shared" ca="1" si="8"/>
        <v>Furniture</v>
      </c>
      <c r="D111" t="str">
        <f t="shared" ca="1" si="9"/>
        <v>Bed</v>
      </c>
      <c r="E111" t="str">
        <f t="shared" ca="1" si="10"/>
        <v>East</v>
      </c>
      <c r="F111">
        <f t="shared" ca="1" si="11"/>
        <v>5557</v>
      </c>
      <c r="G111">
        <f t="shared" ca="1" si="12"/>
        <v>25</v>
      </c>
      <c r="H111">
        <f t="shared" ca="1" si="13"/>
        <v>138925</v>
      </c>
    </row>
    <row r="112" spans="1:8" x14ac:dyDescent="0.3">
      <c r="A112" s="1">
        <v>45768</v>
      </c>
      <c r="B112" t="str">
        <f t="shared" si="7"/>
        <v>ORD111</v>
      </c>
      <c r="C112" t="str">
        <f t="shared" ca="1" si="8"/>
        <v>Electronics</v>
      </c>
      <c r="D112" t="str">
        <f t="shared" ca="1" si="9"/>
        <v>Smartwatch</v>
      </c>
      <c r="E112" t="str">
        <f t="shared" ca="1" si="10"/>
        <v>East</v>
      </c>
      <c r="F112">
        <f t="shared" ca="1" si="11"/>
        <v>46205</v>
      </c>
      <c r="G112">
        <f t="shared" ca="1" si="12"/>
        <v>17</v>
      </c>
      <c r="H112">
        <f t="shared" ca="1" si="13"/>
        <v>785485</v>
      </c>
    </row>
    <row r="113" spans="1:8" x14ac:dyDescent="0.3">
      <c r="A113" s="1">
        <v>45769</v>
      </c>
      <c r="B113" t="str">
        <f t="shared" si="7"/>
        <v>ORD112</v>
      </c>
      <c r="C113" t="str">
        <f t="shared" ca="1" si="8"/>
        <v>Electronics</v>
      </c>
      <c r="D113" t="str">
        <f t="shared" ca="1" si="9"/>
        <v>Tablet</v>
      </c>
      <c r="E113" t="str">
        <f t="shared" ca="1" si="10"/>
        <v>West</v>
      </c>
      <c r="F113">
        <f t="shared" ca="1" si="11"/>
        <v>38729</v>
      </c>
      <c r="G113">
        <f t="shared" ca="1" si="12"/>
        <v>27</v>
      </c>
      <c r="H113">
        <f t="shared" ca="1" si="13"/>
        <v>1045683</v>
      </c>
    </row>
    <row r="114" spans="1:8" x14ac:dyDescent="0.3">
      <c r="A114" s="1">
        <v>45770</v>
      </c>
      <c r="B114" t="str">
        <f t="shared" si="7"/>
        <v>ORD113</v>
      </c>
      <c r="C114" t="str">
        <f t="shared" ca="1" si="8"/>
        <v>Furniture</v>
      </c>
      <c r="D114" t="str">
        <f t="shared" ca="1" si="9"/>
        <v>Desk</v>
      </c>
      <c r="E114" t="str">
        <f t="shared" ca="1" si="10"/>
        <v>North</v>
      </c>
      <c r="F114">
        <f t="shared" ca="1" si="11"/>
        <v>17108</v>
      </c>
      <c r="G114">
        <f t="shared" ca="1" si="12"/>
        <v>19</v>
      </c>
      <c r="H114">
        <f t="shared" ca="1" si="13"/>
        <v>325052</v>
      </c>
    </row>
    <row r="115" spans="1:8" x14ac:dyDescent="0.3">
      <c r="A115" s="1">
        <v>45771</v>
      </c>
      <c r="B115" t="str">
        <f t="shared" si="7"/>
        <v>ORD114</v>
      </c>
      <c r="C115" t="str">
        <f t="shared" ca="1" si="8"/>
        <v>Clothing</v>
      </c>
      <c r="D115" t="str">
        <f t="shared" ca="1" si="9"/>
        <v>Dress</v>
      </c>
      <c r="E115" t="str">
        <f t="shared" ca="1" si="10"/>
        <v>South</v>
      </c>
      <c r="F115">
        <f t="shared" ca="1" si="11"/>
        <v>11117</v>
      </c>
      <c r="G115">
        <f t="shared" ca="1" si="12"/>
        <v>29</v>
      </c>
      <c r="H115">
        <f t="shared" ca="1" si="13"/>
        <v>322393</v>
      </c>
    </row>
    <row r="116" spans="1:8" x14ac:dyDescent="0.3">
      <c r="A116" s="1">
        <v>45772</v>
      </c>
      <c r="B116" t="str">
        <f t="shared" si="7"/>
        <v>ORD115</v>
      </c>
      <c r="C116" t="str">
        <f t="shared" ca="1" si="8"/>
        <v>Stationery</v>
      </c>
      <c r="D116" t="str">
        <f t="shared" ca="1" si="9"/>
        <v>Stapler</v>
      </c>
      <c r="E116" t="str">
        <f t="shared" ca="1" si="10"/>
        <v>South</v>
      </c>
      <c r="F116">
        <f t="shared" ca="1" si="11"/>
        <v>3195</v>
      </c>
      <c r="G116">
        <f t="shared" ca="1" si="12"/>
        <v>22</v>
      </c>
      <c r="H116">
        <f t="shared" ca="1" si="13"/>
        <v>70290</v>
      </c>
    </row>
    <row r="117" spans="1:8" x14ac:dyDescent="0.3">
      <c r="A117" s="1">
        <v>45773</v>
      </c>
      <c r="B117" t="str">
        <f t="shared" si="7"/>
        <v>ORD116</v>
      </c>
      <c r="C117" t="str">
        <f t="shared" ca="1" si="8"/>
        <v>Sports Equipment</v>
      </c>
      <c r="D117" t="str">
        <f t="shared" ca="1" si="9"/>
        <v>Yoga Mat</v>
      </c>
      <c r="E117" t="str">
        <f t="shared" ca="1" si="10"/>
        <v>South</v>
      </c>
      <c r="F117">
        <f t="shared" ca="1" si="11"/>
        <v>20352</v>
      </c>
      <c r="G117">
        <f t="shared" ca="1" si="12"/>
        <v>10</v>
      </c>
      <c r="H117">
        <f t="shared" ca="1" si="13"/>
        <v>203520</v>
      </c>
    </row>
    <row r="118" spans="1:8" x14ac:dyDescent="0.3">
      <c r="A118" s="1">
        <v>45774</v>
      </c>
      <c r="B118" t="str">
        <f t="shared" si="7"/>
        <v>ORD117</v>
      </c>
      <c r="C118" t="str">
        <f t="shared" ca="1" si="8"/>
        <v>Electronics</v>
      </c>
      <c r="D118" t="str">
        <f t="shared" ca="1" si="9"/>
        <v>Tablet</v>
      </c>
      <c r="E118" t="str">
        <f t="shared" ca="1" si="10"/>
        <v>East</v>
      </c>
      <c r="F118">
        <f t="shared" ca="1" si="11"/>
        <v>28988</v>
      </c>
      <c r="G118">
        <f t="shared" ca="1" si="12"/>
        <v>23</v>
      </c>
      <c r="H118">
        <f t="shared" ca="1" si="13"/>
        <v>666724</v>
      </c>
    </row>
    <row r="119" spans="1:8" x14ac:dyDescent="0.3">
      <c r="A119" s="1">
        <v>45775</v>
      </c>
      <c r="B119" t="str">
        <f t="shared" si="7"/>
        <v>ORD118</v>
      </c>
      <c r="C119" t="str">
        <f t="shared" ca="1" si="8"/>
        <v>Clothing</v>
      </c>
      <c r="D119" t="str">
        <f t="shared" ca="1" si="9"/>
        <v>T-Shirt</v>
      </c>
      <c r="E119" t="str">
        <f t="shared" ca="1" si="10"/>
        <v>North</v>
      </c>
      <c r="F119">
        <f t="shared" ca="1" si="11"/>
        <v>1649</v>
      </c>
      <c r="G119">
        <f t="shared" ca="1" si="12"/>
        <v>28</v>
      </c>
      <c r="H119">
        <f t="shared" ca="1" si="13"/>
        <v>46172</v>
      </c>
    </row>
    <row r="120" spans="1:8" x14ac:dyDescent="0.3">
      <c r="A120" s="1">
        <v>45776</v>
      </c>
      <c r="B120" t="str">
        <f t="shared" si="7"/>
        <v>ORD119</v>
      </c>
      <c r="C120" t="str">
        <f t="shared" ca="1" si="8"/>
        <v>Furniture</v>
      </c>
      <c r="D120" t="str">
        <f t="shared" ca="1" si="9"/>
        <v>Desk</v>
      </c>
      <c r="E120" t="str">
        <f t="shared" ca="1" si="10"/>
        <v>South</v>
      </c>
      <c r="F120">
        <f t="shared" ca="1" si="11"/>
        <v>22542</v>
      </c>
      <c r="G120">
        <f t="shared" ca="1" si="12"/>
        <v>16</v>
      </c>
      <c r="H120">
        <f t="shared" ca="1" si="13"/>
        <v>360672</v>
      </c>
    </row>
    <row r="121" spans="1:8" x14ac:dyDescent="0.3">
      <c r="A121" s="1">
        <v>45777</v>
      </c>
      <c r="B121" t="str">
        <f t="shared" si="7"/>
        <v>ORD120</v>
      </c>
      <c r="C121" t="str">
        <f t="shared" ca="1" si="8"/>
        <v>Furniture</v>
      </c>
      <c r="D121" t="str">
        <f t="shared" ca="1" si="9"/>
        <v>Desk</v>
      </c>
      <c r="E121" t="str">
        <f t="shared" ca="1" si="10"/>
        <v>West</v>
      </c>
      <c r="F121">
        <f t="shared" ca="1" si="11"/>
        <v>26515</v>
      </c>
      <c r="G121">
        <f t="shared" ca="1" si="12"/>
        <v>21</v>
      </c>
      <c r="H121">
        <f t="shared" ca="1" si="13"/>
        <v>556815</v>
      </c>
    </row>
    <row r="122" spans="1:8" x14ac:dyDescent="0.3">
      <c r="A122" s="1">
        <v>45778</v>
      </c>
      <c r="B122" t="str">
        <f t="shared" si="7"/>
        <v>ORD121</v>
      </c>
      <c r="C122" t="str">
        <f t="shared" ca="1" si="8"/>
        <v>Clothing</v>
      </c>
      <c r="D122" t="str">
        <f t="shared" ca="1" si="9"/>
        <v>Shoes</v>
      </c>
      <c r="E122" t="str">
        <f t="shared" ca="1" si="10"/>
        <v>West</v>
      </c>
      <c r="F122">
        <f t="shared" ca="1" si="11"/>
        <v>5075</v>
      </c>
      <c r="G122">
        <f t="shared" ca="1" si="12"/>
        <v>29</v>
      </c>
      <c r="H122">
        <f t="shared" ca="1" si="13"/>
        <v>147175</v>
      </c>
    </row>
    <row r="123" spans="1:8" x14ac:dyDescent="0.3">
      <c r="A123" s="1">
        <v>45779</v>
      </c>
      <c r="B123" t="str">
        <f t="shared" si="7"/>
        <v>ORD122</v>
      </c>
      <c r="C123" t="str">
        <f t="shared" ca="1" si="8"/>
        <v>Sports Equipment</v>
      </c>
      <c r="D123" t="str">
        <f t="shared" ca="1" si="9"/>
        <v>Bicycle</v>
      </c>
      <c r="E123" t="str">
        <f t="shared" ca="1" si="10"/>
        <v>East</v>
      </c>
      <c r="F123">
        <f t="shared" ca="1" si="11"/>
        <v>11485</v>
      </c>
      <c r="G123">
        <f t="shared" ca="1" si="12"/>
        <v>4</v>
      </c>
      <c r="H123">
        <f t="shared" ca="1" si="13"/>
        <v>45940</v>
      </c>
    </row>
    <row r="124" spans="1:8" x14ac:dyDescent="0.3">
      <c r="A124" s="1">
        <v>45780</v>
      </c>
      <c r="B124" t="str">
        <f t="shared" si="7"/>
        <v>ORD123</v>
      </c>
      <c r="C124" t="str">
        <f t="shared" ca="1" si="8"/>
        <v>Stationery</v>
      </c>
      <c r="D124" t="str">
        <f t="shared" ca="1" si="9"/>
        <v>Marker</v>
      </c>
      <c r="E124" t="str">
        <f t="shared" ca="1" si="10"/>
        <v>North</v>
      </c>
      <c r="F124">
        <f t="shared" ca="1" si="11"/>
        <v>969</v>
      </c>
      <c r="G124">
        <f t="shared" ca="1" si="12"/>
        <v>28</v>
      </c>
      <c r="H124">
        <f t="shared" ca="1" si="13"/>
        <v>27132</v>
      </c>
    </row>
    <row r="125" spans="1:8" x14ac:dyDescent="0.3">
      <c r="A125" s="1">
        <v>45781</v>
      </c>
      <c r="B125" t="str">
        <f t="shared" si="7"/>
        <v>ORD124</v>
      </c>
      <c r="C125" t="str">
        <f t="shared" ca="1" si="8"/>
        <v>Electronics</v>
      </c>
      <c r="D125" t="str">
        <f t="shared" ca="1" si="9"/>
        <v>Headphones</v>
      </c>
      <c r="E125" t="str">
        <f t="shared" ca="1" si="10"/>
        <v>South</v>
      </c>
      <c r="F125">
        <f t="shared" ca="1" si="11"/>
        <v>78564</v>
      </c>
      <c r="G125">
        <f t="shared" ca="1" si="12"/>
        <v>16</v>
      </c>
      <c r="H125">
        <f t="shared" ca="1" si="13"/>
        <v>1257024</v>
      </c>
    </row>
    <row r="126" spans="1:8" x14ac:dyDescent="0.3">
      <c r="A126" s="1">
        <v>45782</v>
      </c>
      <c r="B126" t="str">
        <f t="shared" si="7"/>
        <v>ORD125</v>
      </c>
      <c r="C126" t="str">
        <f t="shared" ca="1" si="8"/>
        <v>Food &amp; Beverages</v>
      </c>
      <c r="D126" t="str">
        <f t="shared" ca="1" si="9"/>
        <v>Rice Bag</v>
      </c>
      <c r="E126" t="str">
        <f t="shared" ca="1" si="10"/>
        <v>North</v>
      </c>
      <c r="F126">
        <f t="shared" ca="1" si="11"/>
        <v>7471</v>
      </c>
      <c r="G126">
        <f t="shared" ca="1" si="12"/>
        <v>25</v>
      </c>
      <c r="H126">
        <f t="shared" ca="1" si="13"/>
        <v>186775</v>
      </c>
    </row>
    <row r="127" spans="1:8" x14ac:dyDescent="0.3">
      <c r="A127" s="1">
        <v>45783</v>
      </c>
      <c r="B127" t="str">
        <f t="shared" si="7"/>
        <v>ORD126</v>
      </c>
      <c r="C127" t="str">
        <f t="shared" ca="1" si="8"/>
        <v>Sports Equipment</v>
      </c>
      <c r="D127" t="str">
        <f t="shared" ca="1" si="9"/>
        <v>Yoga Mat</v>
      </c>
      <c r="E127" t="str">
        <f t="shared" ca="1" si="10"/>
        <v>West</v>
      </c>
      <c r="F127">
        <f t="shared" ca="1" si="11"/>
        <v>22987</v>
      </c>
      <c r="G127">
        <f t="shared" ca="1" si="12"/>
        <v>20</v>
      </c>
      <c r="H127">
        <f t="shared" ca="1" si="13"/>
        <v>459740</v>
      </c>
    </row>
    <row r="128" spans="1:8" x14ac:dyDescent="0.3">
      <c r="A128" s="1">
        <v>45784</v>
      </c>
      <c r="B128" t="str">
        <f t="shared" si="7"/>
        <v>ORD127</v>
      </c>
      <c r="C128" t="str">
        <f t="shared" ca="1" si="8"/>
        <v>Electronics</v>
      </c>
      <c r="D128" t="str">
        <f t="shared" ca="1" si="9"/>
        <v>Tablet</v>
      </c>
      <c r="E128" t="str">
        <f t="shared" ca="1" si="10"/>
        <v>East</v>
      </c>
      <c r="F128">
        <f t="shared" ca="1" si="11"/>
        <v>23002</v>
      </c>
      <c r="G128">
        <f t="shared" ca="1" si="12"/>
        <v>13</v>
      </c>
      <c r="H128">
        <f t="shared" ca="1" si="13"/>
        <v>299026</v>
      </c>
    </row>
    <row r="129" spans="1:8" x14ac:dyDescent="0.3">
      <c r="A129" s="1">
        <v>45785</v>
      </c>
      <c r="B129" t="str">
        <f t="shared" si="7"/>
        <v>ORD128</v>
      </c>
      <c r="C129" t="str">
        <f t="shared" ca="1" si="8"/>
        <v>Furniture</v>
      </c>
      <c r="D129" t="str">
        <f t="shared" ca="1" si="9"/>
        <v>Bookshelf</v>
      </c>
      <c r="E129" t="str">
        <f t="shared" ca="1" si="10"/>
        <v>South</v>
      </c>
      <c r="F129">
        <f t="shared" ca="1" si="11"/>
        <v>29518</v>
      </c>
      <c r="G129">
        <f t="shared" ca="1" si="12"/>
        <v>25</v>
      </c>
      <c r="H129">
        <f t="shared" ca="1" si="13"/>
        <v>737950</v>
      </c>
    </row>
    <row r="130" spans="1:8" x14ac:dyDescent="0.3">
      <c r="A130" s="1">
        <v>45786</v>
      </c>
      <c r="B130" t="str">
        <f t="shared" si="7"/>
        <v>ORD129</v>
      </c>
      <c r="C130" t="str">
        <f t="shared" ca="1" si="8"/>
        <v>Electronics</v>
      </c>
      <c r="D130" t="str">
        <f t="shared" ca="1" si="9"/>
        <v>Tablet</v>
      </c>
      <c r="E130" t="str">
        <f t="shared" ca="1" si="10"/>
        <v>South</v>
      </c>
      <c r="F130">
        <f t="shared" ca="1" si="11"/>
        <v>76268</v>
      </c>
      <c r="G130">
        <f t="shared" ca="1" si="12"/>
        <v>26</v>
      </c>
      <c r="H130">
        <f t="shared" ca="1" si="13"/>
        <v>1982968</v>
      </c>
    </row>
    <row r="131" spans="1:8" x14ac:dyDescent="0.3">
      <c r="A131" s="1">
        <v>45787</v>
      </c>
      <c r="B131" t="str">
        <f t="shared" ref="B131:B194" si="14">"ORD"&amp;TEXT(ROW(A131)-1,"000")</f>
        <v>ORD130</v>
      </c>
      <c r="C131" t="str">
        <f t="shared" ref="C131:C194" ca="1" si="15">CHOOSE(RANDBETWEEN(1,6),"Electronics","Furniture","Clothing","Food &amp; Beverages","Sports Equipment","Stationery")</f>
        <v>Food &amp; Beverages</v>
      </c>
      <c r="D131" t="str">
        <f t="shared" ref="D131:D194" ca="1" si="16">IF(C131="Electronics", CHOOSE(RANDBETWEEN(1,5),"Laptop","Smartphone","Tablet","Headphones","Smartwatch"),
 IF(C131="Furniture", CHOOSE(RANDBETWEEN(1,5),"Chair","Desk","Sofa","Bed","Bookshelf"),
 IF(C131="Clothing", CHOOSE(RANDBETWEEN(1,5),"Jacket","T-Shirt","Jeans","Dress","Shoes"),
 IF(C131="Food &amp; Beverages", CHOOSE(RANDBETWEEN(1,5),"Coffee Pack","Juice Bottle","Snack Box","Rice Bag","Tea Pack"),
 IF(C131="Sports Equipment", CHOOSE(RANDBETWEEN(1,5),"Football","Tennis Racket","Yoga Mat","Dumbbells","Bicycle"),
 IF(C131="Stationery", CHOOSE(RANDBETWEEN(1,5),"Notebook","Pen","Marker","Stapler","File Folder")))))))</f>
        <v>Rice Bag</v>
      </c>
      <c r="E131" t="str">
        <f t="shared" ref="E131:E194" ca="1" si="17">CHOOSE(RANDBETWEEN(1,4),"North","South","East","West")</f>
        <v>West</v>
      </c>
      <c r="F131">
        <f t="shared" ref="F131:F194" ca="1" si="18">IF(C131="Electronics",RANDBETWEEN(20000,80000),
 IF(C131="Furniture",RANDBETWEEN(5000,30000),
 IF(C131="Clothing",RANDBETWEEN(1000,15000),
 IF(C131="Food &amp; Beverages",RANDBETWEEN(500,10000),
 IF(C131="Sports Equipment",RANDBETWEEN(2000,25000),
 IF(C131="Stationery",RANDBETWEEN(100,5000)))))))</f>
        <v>3686</v>
      </c>
      <c r="G131">
        <f t="shared" ref="G131:G194" ca="1" si="19">RANDBETWEEN(1,30)</f>
        <v>14</v>
      </c>
      <c r="H131">
        <f t="shared" ref="H131:H194" ca="1" si="20">F131 * G131</f>
        <v>51604</v>
      </c>
    </row>
    <row r="132" spans="1:8" x14ac:dyDescent="0.3">
      <c r="A132" s="1">
        <v>45788</v>
      </c>
      <c r="B132" t="str">
        <f t="shared" si="14"/>
        <v>ORD131</v>
      </c>
      <c r="C132" t="str">
        <f t="shared" ca="1" si="15"/>
        <v>Furniture</v>
      </c>
      <c r="D132" t="str">
        <f t="shared" ca="1" si="16"/>
        <v>Bookshelf</v>
      </c>
      <c r="E132" t="str">
        <f t="shared" ca="1" si="17"/>
        <v>South</v>
      </c>
      <c r="F132">
        <f t="shared" ca="1" si="18"/>
        <v>15331</v>
      </c>
      <c r="G132">
        <f t="shared" ca="1" si="19"/>
        <v>26</v>
      </c>
      <c r="H132">
        <f t="shared" ca="1" si="20"/>
        <v>398606</v>
      </c>
    </row>
    <row r="133" spans="1:8" x14ac:dyDescent="0.3">
      <c r="A133" s="1">
        <v>45789</v>
      </c>
      <c r="B133" t="str">
        <f t="shared" si="14"/>
        <v>ORD132</v>
      </c>
      <c r="C133" t="str">
        <f t="shared" ca="1" si="15"/>
        <v>Clothing</v>
      </c>
      <c r="D133" t="str">
        <f t="shared" ca="1" si="16"/>
        <v>Shoes</v>
      </c>
      <c r="E133" t="str">
        <f t="shared" ca="1" si="17"/>
        <v>South</v>
      </c>
      <c r="F133">
        <f t="shared" ca="1" si="18"/>
        <v>5039</v>
      </c>
      <c r="G133">
        <f t="shared" ca="1" si="19"/>
        <v>13</v>
      </c>
      <c r="H133">
        <f t="shared" ca="1" si="20"/>
        <v>65507</v>
      </c>
    </row>
    <row r="134" spans="1:8" x14ac:dyDescent="0.3">
      <c r="A134" s="1">
        <v>45790</v>
      </c>
      <c r="B134" t="str">
        <f t="shared" si="14"/>
        <v>ORD133</v>
      </c>
      <c r="C134" t="str">
        <f t="shared" ca="1" si="15"/>
        <v>Stationery</v>
      </c>
      <c r="D134" t="str">
        <f t="shared" ca="1" si="16"/>
        <v>Notebook</v>
      </c>
      <c r="E134" t="str">
        <f t="shared" ca="1" si="17"/>
        <v>West</v>
      </c>
      <c r="F134">
        <f t="shared" ca="1" si="18"/>
        <v>904</v>
      </c>
      <c r="G134">
        <f t="shared" ca="1" si="19"/>
        <v>25</v>
      </c>
      <c r="H134">
        <f t="shared" ca="1" si="20"/>
        <v>22600</v>
      </c>
    </row>
    <row r="135" spans="1:8" x14ac:dyDescent="0.3">
      <c r="A135" s="1">
        <v>45791</v>
      </c>
      <c r="B135" t="str">
        <f t="shared" si="14"/>
        <v>ORD134</v>
      </c>
      <c r="C135" t="str">
        <f t="shared" ca="1" si="15"/>
        <v>Stationery</v>
      </c>
      <c r="D135" t="str">
        <f t="shared" ca="1" si="16"/>
        <v>Marker</v>
      </c>
      <c r="E135" t="str">
        <f t="shared" ca="1" si="17"/>
        <v>North</v>
      </c>
      <c r="F135">
        <f t="shared" ca="1" si="18"/>
        <v>261</v>
      </c>
      <c r="G135">
        <f t="shared" ca="1" si="19"/>
        <v>16</v>
      </c>
      <c r="H135">
        <f t="shared" ca="1" si="20"/>
        <v>4176</v>
      </c>
    </row>
    <row r="136" spans="1:8" x14ac:dyDescent="0.3">
      <c r="A136" s="1">
        <v>45792</v>
      </c>
      <c r="B136" t="str">
        <f t="shared" si="14"/>
        <v>ORD135</v>
      </c>
      <c r="C136" t="str">
        <f t="shared" ca="1" si="15"/>
        <v>Food &amp; Beverages</v>
      </c>
      <c r="D136" t="str">
        <f t="shared" ca="1" si="16"/>
        <v>Snack Box</v>
      </c>
      <c r="E136" t="str">
        <f t="shared" ca="1" si="17"/>
        <v>South</v>
      </c>
      <c r="F136">
        <f t="shared" ca="1" si="18"/>
        <v>7236</v>
      </c>
      <c r="G136">
        <f t="shared" ca="1" si="19"/>
        <v>10</v>
      </c>
      <c r="H136">
        <f t="shared" ca="1" si="20"/>
        <v>72360</v>
      </c>
    </row>
    <row r="137" spans="1:8" x14ac:dyDescent="0.3">
      <c r="A137" s="1">
        <v>45793</v>
      </c>
      <c r="B137" t="str">
        <f t="shared" si="14"/>
        <v>ORD136</v>
      </c>
      <c r="C137" t="str">
        <f t="shared" ca="1" si="15"/>
        <v>Sports Equipment</v>
      </c>
      <c r="D137" t="str">
        <f t="shared" ca="1" si="16"/>
        <v>Tennis Racket</v>
      </c>
      <c r="E137" t="str">
        <f t="shared" ca="1" si="17"/>
        <v>East</v>
      </c>
      <c r="F137">
        <f t="shared" ca="1" si="18"/>
        <v>15061</v>
      </c>
      <c r="G137">
        <f t="shared" ca="1" si="19"/>
        <v>12</v>
      </c>
      <c r="H137">
        <f t="shared" ca="1" si="20"/>
        <v>180732</v>
      </c>
    </row>
    <row r="138" spans="1:8" x14ac:dyDescent="0.3">
      <c r="A138" s="1">
        <v>45794</v>
      </c>
      <c r="B138" t="str">
        <f t="shared" si="14"/>
        <v>ORD137</v>
      </c>
      <c r="C138" t="str">
        <f t="shared" ca="1" si="15"/>
        <v>Stationery</v>
      </c>
      <c r="D138" t="str">
        <f t="shared" ca="1" si="16"/>
        <v>Notebook</v>
      </c>
      <c r="E138" t="str">
        <f t="shared" ca="1" si="17"/>
        <v>South</v>
      </c>
      <c r="F138">
        <f t="shared" ca="1" si="18"/>
        <v>3068</v>
      </c>
      <c r="G138">
        <f t="shared" ca="1" si="19"/>
        <v>11</v>
      </c>
      <c r="H138">
        <f t="shared" ca="1" si="20"/>
        <v>33748</v>
      </c>
    </row>
    <row r="139" spans="1:8" x14ac:dyDescent="0.3">
      <c r="A139" s="1">
        <v>45795</v>
      </c>
      <c r="B139" t="str">
        <f t="shared" si="14"/>
        <v>ORD138</v>
      </c>
      <c r="C139" t="str">
        <f t="shared" ca="1" si="15"/>
        <v>Food &amp; Beverages</v>
      </c>
      <c r="D139" t="str">
        <f t="shared" ca="1" si="16"/>
        <v>Tea Pack</v>
      </c>
      <c r="E139" t="str">
        <f t="shared" ca="1" si="17"/>
        <v>East</v>
      </c>
      <c r="F139">
        <f t="shared" ca="1" si="18"/>
        <v>8888</v>
      </c>
      <c r="G139">
        <f t="shared" ca="1" si="19"/>
        <v>24</v>
      </c>
      <c r="H139">
        <f t="shared" ca="1" si="20"/>
        <v>213312</v>
      </c>
    </row>
    <row r="140" spans="1:8" x14ac:dyDescent="0.3">
      <c r="A140" s="1">
        <v>45796</v>
      </c>
      <c r="B140" t="str">
        <f t="shared" si="14"/>
        <v>ORD139</v>
      </c>
      <c r="C140" t="str">
        <f t="shared" ca="1" si="15"/>
        <v>Sports Equipment</v>
      </c>
      <c r="D140" t="str">
        <f t="shared" ca="1" si="16"/>
        <v>Tennis Racket</v>
      </c>
      <c r="E140" t="str">
        <f t="shared" ca="1" si="17"/>
        <v>East</v>
      </c>
      <c r="F140">
        <f t="shared" ca="1" si="18"/>
        <v>24053</v>
      </c>
      <c r="G140">
        <f t="shared" ca="1" si="19"/>
        <v>1</v>
      </c>
      <c r="H140">
        <f t="shared" ca="1" si="20"/>
        <v>24053</v>
      </c>
    </row>
    <row r="141" spans="1:8" x14ac:dyDescent="0.3">
      <c r="A141" s="1">
        <v>45797</v>
      </c>
      <c r="B141" t="str">
        <f t="shared" si="14"/>
        <v>ORD140</v>
      </c>
      <c r="C141" t="str">
        <f t="shared" ca="1" si="15"/>
        <v>Furniture</v>
      </c>
      <c r="D141" t="str">
        <f t="shared" ca="1" si="16"/>
        <v>Bed</v>
      </c>
      <c r="E141" t="str">
        <f t="shared" ca="1" si="17"/>
        <v>West</v>
      </c>
      <c r="F141">
        <f t="shared" ca="1" si="18"/>
        <v>18054</v>
      </c>
      <c r="G141">
        <f t="shared" ca="1" si="19"/>
        <v>11</v>
      </c>
      <c r="H141">
        <f t="shared" ca="1" si="20"/>
        <v>198594</v>
      </c>
    </row>
    <row r="142" spans="1:8" x14ac:dyDescent="0.3">
      <c r="A142" s="1">
        <v>45798</v>
      </c>
      <c r="B142" t="str">
        <f t="shared" si="14"/>
        <v>ORD141</v>
      </c>
      <c r="C142" t="str">
        <f t="shared" ca="1" si="15"/>
        <v>Furniture</v>
      </c>
      <c r="D142" t="str">
        <f t="shared" ca="1" si="16"/>
        <v>Sofa</v>
      </c>
      <c r="E142" t="str">
        <f t="shared" ca="1" si="17"/>
        <v>South</v>
      </c>
      <c r="F142">
        <f t="shared" ca="1" si="18"/>
        <v>26228</v>
      </c>
      <c r="G142">
        <f t="shared" ca="1" si="19"/>
        <v>22</v>
      </c>
      <c r="H142">
        <f t="shared" ca="1" si="20"/>
        <v>577016</v>
      </c>
    </row>
    <row r="143" spans="1:8" x14ac:dyDescent="0.3">
      <c r="A143" s="1">
        <v>45799</v>
      </c>
      <c r="B143" t="str">
        <f t="shared" si="14"/>
        <v>ORD142</v>
      </c>
      <c r="C143" t="str">
        <f t="shared" ca="1" si="15"/>
        <v>Food &amp; Beverages</v>
      </c>
      <c r="D143" t="str">
        <f t="shared" ca="1" si="16"/>
        <v>Juice Bottle</v>
      </c>
      <c r="E143" t="str">
        <f t="shared" ca="1" si="17"/>
        <v>West</v>
      </c>
      <c r="F143">
        <f t="shared" ca="1" si="18"/>
        <v>1898</v>
      </c>
      <c r="G143">
        <f t="shared" ca="1" si="19"/>
        <v>14</v>
      </c>
      <c r="H143">
        <f t="shared" ca="1" si="20"/>
        <v>26572</v>
      </c>
    </row>
    <row r="144" spans="1:8" x14ac:dyDescent="0.3">
      <c r="A144" s="1">
        <v>45800</v>
      </c>
      <c r="B144" t="str">
        <f t="shared" si="14"/>
        <v>ORD143</v>
      </c>
      <c r="C144" t="str">
        <f t="shared" ca="1" si="15"/>
        <v>Food &amp; Beverages</v>
      </c>
      <c r="D144" t="str">
        <f t="shared" ca="1" si="16"/>
        <v>Rice Bag</v>
      </c>
      <c r="E144" t="str">
        <f t="shared" ca="1" si="17"/>
        <v>West</v>
      </c>
      <c r="F144">
        <f t="shared" ca="1" si="18"/>
        <v>6239</v>
      </c>
      <c r="G144">
        <f t="shared" ca="1" si="19"/>
        <v>4</v>
      </c>
      <c r="H144">
        <f t="shared" ca="1" si="20"/>
        <v>24956</v>
      </c>
    </row>
    <row r="145" spans="1:8" x14ac:dyDescent="0.3">
      <c r="A145" s="1">
        <v>45801</v>
      </c>
      <c r="B145" t="str">
        <f t="shared" si="14"/>
        <v>ORD144</v>
      </c>
      <c r="C145" t="str">
        <f t="shared" ca="1" si="15"/>
        <v>Furniture</v>
      </c>
      <c r="D145" t="str">
        <f t="shared" ca="1" si="16"/>
        <v>Desk</v>
      </c>
      <c r="E145" t="str">
        <f t="shared" ca="1" si="17"/>
        <v>North</v>
      </c>
      <c r="F145">
        <f t="shared" ca="1" si="18"/>
        <v>10658</v>
      </c>
      <c r="G145">
        <f t="shared" ca="1" si="19"/>
        <v>26</v>
      </c>
      <c r="H145">
        <f t="shared" ca="1" si="20"/>
        <v>277108</v>
      </c>
    </row>
    <row r="146" spans="1:8" x14ac:dyDescent="0.3">
      <c r="A146" s="1">
        <v>45802</v>
      </c>
      <c r="B146" t="str">
        <f t="shared" si="14"/>
        <v>ORD145</v>
      </c>
      <c r="C146" t="str">
        <f t="shared" ca="1" si="15"/>
        <v>Clothing</v>
      </c>
      <c r="D146" t="str">
        <f t="shared" ca="1" si="16"/>
        <v>Dress</v>
      </c>
      <c r="E146" t="str">
        <f t="shared" ca="1" si="17"/>
        <v>North</v>
      </c>
      <c r="F146">
        <f t="shared" ca="1" si="18"/>
        <v>1699</v>
      </c>
      <c r="G146">
        <f t="shared" ca="1" si="19"/>
        <v>8</v>
      </c>
      <c r="H146">
        <f t="shared" ca="1" si="20"/>
        <v>13592</v>
      </c>
    </row>
    <row r="147" spans="1:8" x14ac:dyDescent="0.3">
      <c r="A147" s="1">
        <v>45803</v>
      </c>
      <c r="B147" t="str">
        <f t="shared" si="14"/>
        <v>ORD146</v>
      </c>
      <c r="C147" t="str">
        <f t="shared" ca="1" si="15"/>
        <v>Stationery</v>
      </c>
      <c r="D147" t="str">
        <f t="shared" ca="1" si="16"/>
        <v>Pen</v>
      </c>
      <c r="E147" t="str">
        <f t="shared" ca="1" si="17"/>
        <v>North</v>
      </c>
      <c r="F147">
        <f t="shared" ca="1" si="18"/>
        <v>131</v>
      </c>
      <c r="G147">
        <f t="shared" ca="1" si="19"/>
        <v>13</v>
      </c>
      <c r="H147">
        <f t="shared" ca="1" si="20"/>
        <v>1703</v>
      </c>
    </row>
    <row r="148" spans="1:8" x14ac:dyDescent="0.3">
      <c r="A148" s="1">
        <v>45804</v>
      </c>
      <c r="B148" t="str">
        <f t="shared" si="14"/>
        <v>ORD147</v>
      </c>
      <c r="C148" t="str">
        <f t="shared" ca="1" si="15"/>
        <v>Furniture</v>
      </c>
      <c r="D148" t="str">
        <f t="shared" ca="1" si="16"/>
        <v>Bookshelf</v>
      </c>
      <c r="E148" t="str">
        <f t="shared" ca="1" si="17"/>
        <v>East</v>
      </c>
      <c r="F148">
        <f t="shared" ca="1" si="18"/>
        <v>24766</v>
      </c>
      <c r="G148">
        <f t="shared" ca="1" si="19"/>
        <v>6</v>
      </c>
      <c r="H148">
        <f t="shared" ca="1" si="20"/>
        <v>148596</v>
      </c>
    </row>
    <row r="149" spans="1:8" x14ac:dyDescent="0.3">
      <c r="A149" s="1">
        <v>45805</v>
      </c>
      <c r="B149" t="str">
        <f t="shared" si="14"/>
        <v>ORD148</v>
      </c>
      <c r="C149" t="str">
        <f t="shared" ca="1" si="15"/>
        <v>Electronics</v>
      </c>
      <c r="D149" t="str">
        <f t="shared" ca="1" si="16"/>
        <v>Tablet</v>
      </c>
      <c r="E149" t="str">
        <f t="shared" ca="1" si="17"/>
        <v>East</v>
      </c>
      <c r="F149">
        <f t="shared" ca="1" si="18"/>
        <v>42991</v>
      </c>
      <c r="G149">
        <f t="shared" ca="1" si="19"/>
        <v>24</v>
      </c>
      <c r="H149">
        <f t="shared" ca="1" si="20"/>
        <v>1031784</v>
      </c>
    </row>
    <row r="150" spans="1:8" x14ac:dyDescent="0.3">
      <c r="A150" s="1">
        <v>45806</v>
      </c>
      <c r="B150" t="str">
        <f t="shared" si="14"/>
        <v>ORD149</v>
      </c>
      <c r="C150" t="str">
        <f t="shared" ca="1" si="15"/>
        <v>Electronics</v>
      </c>
      <c r="D150" t="str">
        <f t="shared" ca="1" si="16"/>
        <v>Smartphone</v>
      </c>
      <c r="E150" t="str">
        <f t="shared" ca="1" si="17"/>
        <v>East</v>
      </c>
      <c r="F150">
        <f t="shared" ca="1" si="18"/>
        <v>47520</v>
      </c>
      <c r="G150">
        <f t="shared" ca="1" si="19"/>
        <v>14</v>
      </c>
      <c r="H150">
        <f t="shared" ca="1" si="20"/>
        <v>665280</v>
      </c>
    </row>
    <row r="151" spans="1:8" x14ac:dyDescent="0.3">
      <c r="A151" s="1">
        <v>45807</v>
      </c>
      <c r="B151" t="str">
        <f t="shared" si="14"/>
        <v>ORD150</v>
      </c>
      <c r="C151" t="str">
        <f t="shared" ca="1" si="15"/>
        <v>Sports Equipment</v>
      </c>
      <c r="D151" t="str">
        <f t="shared" ca="1" si="16"/>
        <v>Tennis Racket</v>
      </c>
      <c r="E151" t="str">
        <f t="shared" ca="1" si="17"/>
        <v>West</v>
      </c>
      <c r="F151">
        <f t="shared" ca="1" si="18"/>
        <v>17228</v>
      </c>
      <c r="G151">
        <f t="shared" ca="1" si="19"/>
        <v>16</v>
      </c>
      <c r="H151">
        <f t="shared" ca="1" si="20"/>
        <v>275648</v>
      </c>
    </row>
    <row r="152" spans="1:8" x14ac:dyDescent="0.3">
      <c r="A152" s="1">
        <v>45808</v>
      </c>
      <c r="B152" t="str">
        <f t="shared" si="14"/>
        <v>ORD151</v>
      </c>
      <c r="C152" t="str">
        <f t="shared" ca="1" si="15"/>
        <v>Sports Equipment</v>
      </c>
      <c r="D152" t="str">
        <f t="shared" ca="1" si="16"/>
        <v>Football</v>
      </c>
      <c r="E152" t="str">
        <f t="shared" ca="1" si="17"/>
        <v>North</v>
      </c>
      <c r="F152">
        <f t="shared" ca="1" si="18"/>
        <v>6756</v>
      </c>
      <c r="G152">
        <f t="shared" ca="1" si="19"/>
        <v>1</v>
      </c>
      <c r="H152">
        <f t="shared" ca="1" si="20"/>
        <v>6756</v>
      </c>
    </row>
    <row r="153" spans="1:8" x14ac:dyDescent="0.3">
      <c r="A153" s="1">
        <v>45809</v>
      </c>
      <c r="B153" t="str">
        <f t="shared" si="14"/>
        <v>ORD152</v>
      </c>
      <c r="C153" t="str">
        <f t="shared" ca="1" si="15"/>
        <v>Furniture</v>
      </c>
      <c r="D153" t="str">
        <f t="shared" ca="1" si="16"/>
        <v>Sofa</v>
      </c>
      <c r="E153" t="str">
        <f t="shared" ca="1" si="17"/>
        <v>South</v>
      </c>
      <c r="F153">
        <f t="shared" ca="1" si="18"/>
        <v>6417</v>
      </c>
      <c r="G153">
        <f t="shared" ca="1" si="19"/>
        <v>17</v>
      </c>
      <c r="H153">
        <f t="shared" ca="1" si="20"/>
        <v>109089</v>
      </c>
    </row>
    <row r="154" spans="1:8" x14ac:dyDescent="0.3">
      <c r="A154" s="1">
        <v>45810</v>
      </c>
      <c r="B154" t="str">
        <f t="shared" si="14"/>
        <v>ORD153</v>
      </c>
      <c r="C154" t="str">
        <f t="shared" ca="1" si="15"/>
        <v>Electronics</v>
      </c>
      <c r="D154" t="str">
        <f t="shared" ca="1" si="16"/>
        <v>Smartphone</v>
      </c>
      <c r="E154" t="str">
        <f t="shared" ca="1" si="17"/>
        <v>North</v>
      </c>
      <c r="F154">
        <f t="shared" ca="1" si="18"/>
        <v>66655</v>
      </c>
      <c r="G154">
        <f t="shared" ca="1" si="19"/>
        <v>24</v>
      </c>
      <c r="H154">
        <f t="shared" ca="1" si="20"/>
        <v>1599720</v>
      </c>
    </row>
    <row r="155" spans="1:8" x14ac:dyDescent="0.3">
      <c r="A155" s="1">
        <v>45811</v>
      </c>
      <c r="B155" t="str">
        <f t="shared" si="14"/>
        <v>ORD154</v>
      </c>
      <c r="C155" t="str">
        <f t="shared" ca="1" si="15"/>
        <v>Clothing</v>
      </c>
      <c r="D155" t="str">
        <f t="shared" ca="1" si="16"/>
        <v>Jacket</v>
      </c>
      <c r="E155" t="str">
        <f t="shared" ca="1" si="17"/>
        <v>North</v>
      </c>
      <c r="F155">
        <f t="shared" ca="1" si="18"/>
        <v>13915</v>
      </c>
      <c r="G155">
        <f t="shared" ca="1" si="19"/>
        <v>23</v>
      </c>
      <c r="H155">
        <f t="shared" ca="1" si="20"/>
        <v>320045</v>
      </c>
    </row>
    <row r="156" spans="1:8" x14ac:dyDescent="0.3">
      <c r="A156" s="1">
        <v>45812</v>
      </c>
      <c r="B156" t="str">
        <f t="shared" si="14"/>
        <v>ORD155</v>
      </c>
      <c r="C156" t="str">
        <f t="shared" ca="1" si="15"/>
        <v>Stationery</v>
      </c>
      <c r="D156" t="str">
        <f t="shared" ca="1" si="16"/>
        <v>Stapler</v>
      </c>
      <c r="E156" t="str">
        <f t="shared" ca="1" si="17"/>
        <v>East</v>
      </c>
      <c r="F156">
        <f t="shared" ca="1" si="18"/>
        <v>2470</v>
      </c>
      <c r="G156">
        <f t="shared" ca="1" si="19"/>
        <v>30</v>
      </c>
      <c r="H156">
        <f t="shared" ca="1" si="20"/>
        <v>74100</v>
      </c>
    </row>
    <row r="157" spans="1:8" x14ac:dyDescent="0.3">
      <c r="A157" s="1">
        <v>45813</v>
      </c>
      <c r="B157" t="str">
        <f t="shared" si="14"/>
        <v>ORD156</v>
      </c>
      <c r="C157" t="str">
        <f t="shared" ca="1" si="15"/>
        <v>Food &amp; Beverages</v>
      </c>
      <c r="D157" t="str">
        <f t="shared" ca="1" si="16"/>
        <v>Tea Pack</v>
      </c>
      <c r="E157" t="str">
        <f t="shared" ca="1" si="17"/>
        <v>East</v>
      </c>
      <c r="F157">
        <f t="shared" ca="1" si="18"/>
        <v>6216</v>
      </c>
      <c r="G157">
        <f t="shared" ca="1" si="19"/>
        <v>21</v>
      </c>
      <c r="H157">
        <f t="shared" ca="1" si="20"/>
        <v>130536</v>
      </c>
    </row>
    <row r="158" spans="1:8" x14ac:dyDescent="0.3">
      <c r="A158" s="1">
        <v>45814</v>
      </c>
      <c r="B158" t="str">
        <f t="shared" si="14"/>
        <v>ORD157</v>
      </c>
      <c r="C158" t="str">
        <f t="shared" ca="1" si="15"/>
        <v>Furniture</v>
      </c>
      <c r="D158" t="str">
        <f t="shared" ca="1" si="16"/>
        <v>Desk</v>
      </c>
      <c r="E158" t="str">
        <f t="shared" ca="1" si="17"/>
        <v>North</v>
      </c>
      <c r="F158">
        <f t="shared" ca="1" si="18"/>
        <v>27667</v>
      </c>
      <c r="G158">
        <f t="shared" ca="1" si="19"/>
        <v>11</v>
      </c>
      <c r="H158">
        <f t="shared" ca="1" si="20"/>
        <v>304337</v>
      </c>
    </row>
    <row r="159" spans="1:8" x14ac:dyDescent="0.3">
      <c r="A159" s="1">
        <v>45815</v>
      </c>
      <c r="B159" t="str">
        <f t="shared" si="14"/>
        <v>ORD158</v>
      </c>
      <c r="C159" t="str">
        <f t="shared" ca="1" si="15"/>
        <v>Clothing</v>
      </c>
      <c r="D159" t="str">
        <f t="shared" ca="1" si="16"/>
        <v>Dress</v>
      </c>
      <c r="E159" t="str">
        <f t="shared" ca="1" si="17"/>
        <v>North</v>
      </c>
      <c r="F159">
        <f t="shared" ca="1" si="18"/>
        <v>10328</v>
      </c>
      <c r="G159">
        <f t="shared" ca="1" si="19"/>
        <v>28</v>
      </c>
      <c r="H159">
        <f t="shared" ca="1" si="20"/>
        <v>289184</v>
      </c>
    </row>
    <row r="160" spans="1:8" x14ac:dyDescent="0.3">
      <c r="A160" s="1">
        <v>45816</v>
      </c>
      <c r="B160" t="str">
        <f t="shared" si="14"/>
        <v>ORD159</v>
      </c>
      <c r="C160" t="str">
        <f t="shared" ca="1" si="15"/>
        <v>Sports Equipment</v>
      </c>
      <c r="D160" t="str">
        <f t="shared" ca="1" si="16"/>
        <v>Football</v>
      </c>
      <c r="E160" t="str">
        <f t="shared" ca="1" si="17"/>
        <v>South</v>
      </c>
      <c r="F160">
        <f t="shared" ca="1" si="18"/>
        <v>10945</v>
      </c>
      <c r="G160">
        <f t="shared" ca="1" si="19"/>
        <v>19</v>
      </c>
      <c r="H160">
        <f t="shared" ca="1" si="20"/>
        <v>207955</v>
      </c>
    </row>
    <row r="161" spans="1:8" x14ac:dyDescent="0.3">
      <c r="A161" s="1">
        <v>45817</v>
      </c>
      <c r="B161" t="str">
        <f t="shared" si="14"/>
        <v>ORD160</v>
      </c>
      <c r="C161" t="str">
        <f t="shared" ca="1" si="15"/>
        <v>Stationery</v>
      </c>
      <c r="D161" t="str">
        <f t="shared" ca="1" si="16"/>
        <v>Stapler</v>
      </c>
      <c r="E161" t="str">
        <f t="shared" ca="1" si="17"/>
        <v>West</v>
      </c>
      <c r="F161">
        <f t="shared" ca="1" si="18"/>
        <v>3667</v>
      </c>
      <c r="G161">
        <f t="shared" ca="1" si="19"/>
        <v>5</v>
      </c>
      <c r="H161">
        <f t="shared" ca="1" si="20"/>
        <v>18335</v>
      </c>
    </row>
    <row r="162" spans="1:8" x14ac:dyDescent="0.3">
      <c r="A162" s="1">
        <v>45818</v>
      </c>
      <c r="B162" t="str">
        <f t="shared" si="14"/>
        <v>ORD161</v>
      </c>
      <c r="C162" t="str">
        <f t="shared" ca="1" si="15"/>
        <v>Stationery</v>
      </c>
      <c r="D162" t="str">
        <f t="shared" ca="1" si="16"/>
        <v>Pen</v>
      </c>
      <c r="E162" t="str">
        <f t="shared" ca="1" si="17"/>
        <v>East</v>
      </c>
      <c r="F162">
        <f t="shared" ca="1" si="18"/>
        <v>3935</v>
      </c>
      <c r="G162">
        <f t="shared" ca="1" si="19"/>
        <v>5</v>
      </c>
      <c r="H162">
        <f t="shared" ca="1" si="20"/>
        <v>19675</v>
      </c>
    </row>
    <row r="163" spans="1:8" x14ac:dyDescent="0.3">
      <c r="A163" s="1">
        <v>45819</v>
      </c>
      <c r="B163" t="str">
        <f t="shared" si="14"/>
        <v>ORD162</v>
      </c>
      <c r="C163" t="str">
        <f t="shared" ca="1" si="15"/>
        <v>Furniture</v>
      </c>
      <c r="D163" t="str">
        <f t="shared" ca="1" si="16"/>
        <v>Desk</v>
      </c>
      <c r="E163" t="str">
        <f t="shared" ca="1" si="17"/>
        <v>East</v>
      </c>
      <c r="F163">
        <f t="shared" ca="1" si="18"/>
        <v>6892</v>
      </c>
      <c r="G163">
        <f t="shared" ca="1" si="19"/>
        <v>27</v>
      </c>
      <c r="H163">
        <f t="shared" ca="1" si="20"/>
        <v>186084</v>
      </c>
    </row>
    <row r="164" spans="1:8" x14ac:dyDescent="0.3">
      <c r="A164" s="1">
        <v>45820</v>
      </c>
      <c r="B164" t="str">
        <f t="shared" si="14"/>
        <v>ORD163</v>
      </c>
      <c r="C164" t="str">
        <f t="shared" ca="1" si="15"/>
        <v>Food &amp; Beverages</v>
      </c>
      <c r="D164" t="str">
        <f t="shared" ca="1" si="16"/>
        <v>Snack Box</v>
      </c>
      <c r="E164" t="str">
        <f t="shared" ca="1" si="17"/>
        <v>East</v>
      </c>
      <c r="F164">
        <f t="shared" ca="1" si="18"/>
        <v>6188</v>
      </c>
      <c r="G164">
        <f t="shared" ca="1" si="19"/>
        <v>20</v>
      </c>
      <c r="H164">
        <f t="shared" ca="1" si="20"/>
        <v>123760</v>
      </c>
    </row>
    <row r="165" spans="1:8" x14ac:dyDescent="0.3">
      <c r="A165" s="1">
        <v>45821</v>
      </c>
      <c r="B165" t="str">
        <f t="shared" si="14"/>
        <v>ORD164</v>
      </c>
      <c r="C165" t="str">
        <f t="shared" ca="1" si="15"/>
        <v>Electronics</v>
      </c>
      <c r="D165" t="str">
        <f t="shared" ca="1" si="16"/>
        <v>Smartphone</v>
      </c>
      <c r="E165" t="str">
        <f t="shared" ca="1" si="17"/>
        <v>East</v>
      </c>
      <c r="F165">
        <f t="shared" ca="1" si="18"/>
        <v>63229</v>
      </c>
      <c r="G165">
        <f t="shared" ca="1" si="19"/>
        <v>27</v>
      </c>
      <c r="H165">
        <f t="shared" ca="1" si="20"/>
        <v>1707183</v>
      </c>
    </row>
    <row r="166" spans="1:8" x14ac:dyDescent="0.3">
      <c r="A166" s="1">
        <v>45822</v>
      </c>
      <c r="B166" t="str">
        <f t="shared" si="14"/>
        <v>ORD165</v>
      </c>
      <c r="C166" t="str">
        <f t="shared" ca="1" si="15"/>
        <v>Electronics</v>
      </c>
      <c r="D166" t="str">
        <f t="shared" ca="1" si="16"/>
        <v>Headphones</v>
      </c>
      <c r="E166" t="str">
        <f t="shared" ca="1" si="17"/>
        <v>West</v>
      </c>
      <c r="F166">
        <f t="shared" ca="1" si="18"/>
        <v>27040</v>
      </c>
      <c r="G166">
        <f t="shared" ca="1" si="19"/>
        <v>30</v>
      </c>
      <c r="H166">
        <f t="shared" ca="1" si="20"/>
        <v>811200</v>
      </c>
    </row>
    <row r="167" spans="1:8" x14ac:dyDescent="0.3">
      <c r="A167" s="1">
        <v>45823</v>
      </c>
      <c r="B167" t="str">
        <f t="shared" si="14"/>
        <v>ORD166</v>
      </c>
      <c r="C167" t="str">
        <f t="shared" ca="1" si="15"/>
        <v>Electronics</v>
      </c>
      <c r="D167" t="str">
        <f t="shared" ca="1" si="16"/>
        <v>Smartwatch</v>
      </c>
      <c r="E167" t="str">
        <f t="shared" ca="1" si="17"/>
        <v>North</v>
      </c>
      <c r="F167">
        <f t="shared" ca="1" si="18"/>
        <v>47197</v>
      </c>
      <c r="G167">
        <f t="shared" ca="1" si="19"/>
        <v>9</v>
      </c>
      <c r="H167">
        <f t="shared" ca="1" si="20"/>
        <v>424773</v>
      </c>
    </row>
    <row r="168" spans="1:8" x14ac:dyDescent="0.3">
      <c r="A168" s="1">
        <v>45824</v>
      </c>
      <c r="B168" t="str">
        <f t="shared" si="14"/>
        <v>ORD167</v>
      </c>
      <c r="C168" t="str">
        <f t="shared" ca="1" si="15"/>
        <v>Food &amp; Beverages</v>
      </c>
      <c r="D168" t="str">
        <f t="shared" ca="1" si="16"/>
        <v>Coffee Pack</v>
      </c>
      <c r="E168" t="str">
        <f t="shared" ca="1" si="17"/>
        <v>North</v>
      </c>
      <c r="F168">
        <f t="shared" ca="1" si="18"/>
        <v>3546</v>
      </c>
      <c r="G168">
        <f t="shared" ca="1" si="19"/>
        <v>2</v>
      </c>
      <c r="H168">
        <f t="shared" ca="1" si="20"/>
        <v>7092</v>
      </c>
    </row>
    <row r="169" spans="1:8" x14ac:dyDescent="0.3">
      <c r="A169" s="1">
        <v>45825</v>
      </c>
      <c r="B169" t="str">
        <f t="shared" si="14"/>
        <v>ORD168</v>
      </c>
      <c r="C169" t="str">
        <f t="shared" ca="1" si="15"/>
        <v>Sports Equipment</v>
      </c>
      <c r="D169" t="str">
        <f t="shared" ca="1" si="16"/>
        <v>Yoga Mat</v>
      </c>
      <c r="E169" t="str">
        <f t="shared" ca="1" si="17"/>
        <v>South</v>
      </c>
      <c r="F169">
        <f t="shared" ca="1" si="18"/>
        <v>12086</v>
      </c>
      <c r="G169">
        <f t="shared" ca="1" si="19"/>
        <v>17</v>
      </c>
      <c r="H169">
        <f t="shared" ca="1" si="20"/>
        <v>205462</v>
      </c>
    </row>
    <row r="170" spans="1:8" x14ac:dyDescent="0.3">
      <c r="A170" s="1">
        <v>45826</v>
      </c>
      <c r="B170" t="str">
        <f t="shared" si="14"/>
        <v>ORD169</v>
      </c>
      <c r="C170" t="str">
        <f t="shared" ca="1" si="15"/>
        <v>Stationery</v>
      </c>
      <c r="D170" t="str">
        <f t="shared" ca="1" si="16"/>
        <v>Pen</v>
      </c>
      <c r="E170" t="str">
        <f t="shared" ca="1" si="17"/>
        <v>North</v>
      </c>
      <c r="F170">
        <f t="shared" ca="1" si="18"/>
        <v>4827</v>
      </c>
      <c r="G170">
        <f t="shared" ca="1" si="19"/>
        <v>25</v>
      </c>
      <c r="H170">
        <f t="shared" ca="1" si="20"/>
        <v>120675</v>
      </c>
    </row>
    <row r="171" spans="1:8" x14ac:dyDescent="0.3">
      <c r="A171" s="1">
        <v>45827</v>
      </c>
      <c r="B171" t="str">
        <f t="shared" si="14"/>
        <v>ORD170</v>
      </c>
      <c r="C171" t="str">
        <f t="shared" ca="1" si="15"/>
        <v>Electronics</v>
      </c>
      <c r="D171" t="str">
        <f t="shared" ca="1" si="16"/>
        <v>Laptop</v>
      </c>
      <c r="E171" t="str">
        <f t="shared" ca="1" si="17"/>
        <v>South</v>
      </c>
      <c r="F171">
        <f t="shared" ca="1" si="18"/>
        <v>59386</v>
      </c>
      <c r="G171">
        <f t="shared" ca="1" si="19"/>
        <v>9</v>
      </c>
      <c r="H171">
        <f t="shared" ca="1" si="20"/>
        <v>534474</v>
      </c>
    </row>
    <row r="172" spans="1:8" x14ac:dyDescent="0.3">
      <c r="A172" s="1">
        <v>45828</v>
      </c>
      <c r="B172" t="str">
        <f t="shared" si="14"/>
        <v>ORD171</v>
      </c>
      <c r="C172" t="str">
        <f t="shared" ca="1" si="15"/>
        <v>Furniture</v>
      </c>
      <c r="D172" t="str">
        <f t="shared" ca="1" si="16"/>
        <v>Desk</v>
      </c>
      <c r="E172" t="str">
        <f t="shared" ca="1" si="17"/>
        <v>West</v>
      </c>
      <c r="F172">
        <f t="shared" ca="1" si="18"/>
        <v>23274</v>
      </c>
      <c r="G172">
        <f t="shared" ca="1" si="19"/>
        <v>1</v>
      </c>
      <c r="H172">
        <f t="shared" ca="1" si="20"/>
        <v>23274</v>
      </c>
    </row>
    <row r="173" spans="1:8" x14ac:dyDescent="0.3">
      <c r="A173" s="1">
        <v>45829</v>
      </c>
      <c r="B173" t="str">
        <f t="shared" si="14"/>
        <v>ORD172</v>
      </c>
      <c r="C173" t="str">
        <f t="shared" ca="1" si="15"/>
        <v>Food &amp; Beverages</v>
      </c>
      <c r="D173" t="str">
        <f t="shared" ca="1" si="16"/>
        <v>Coffee Pack</v>
      </c>
      <c r="E173" t="str">
        <f t="shared" ca="1" si="17"/>
        <v>North</v>
      </c>
      <c r="F173">
        <f t="shared" ca="1" si="18"/>
        <v>7506</v>
      </c>
      <c r="G173">
        <f t="shared" ca="1" si="19"/>
        <v>29</v>
      </c>
      <c r="H173">
        <f t="shared" ca="1" si="20"/>
        <v>217674</v>
      </c>
    </row>
    <row r="174" spans="1:8" x14ac:dyDescent="0.3">
      <c r="A174" s="1">
        <v>45830</v>
      </c>
      <c r="B174" t="str">
        <f t="shared" si="14"/>
        <v>ORD173</v>
      </c>
      <c r="C174" t="str">
        <f t="shared" ca="1" si="15"/>
        <v>Clothing</v>
      </c>
      <c r="D174" t="str">
        <f t="shared" ca="1" si="16"/>
        <v>Jacket</v>
      </c>
      <c r="E174" t="str">
        <f t="shared" ca="1" si="17"/>
        <v>West</v>
      </c>
      <c r="F174">
        <f t="shared" ca="1" si="18"/>
        <v>13680</v>
      </c>
      <c r="G174">
        <f t="shared" ca="1" si="19"/>
        <v>15</v>
      </c>
      <c r="H174">
        <f t="shared" ca="1" si="20"/>
        <v>205200</v>
      </c>
    </row>
    <row r="175" spans="1:8" x14ac:dyDescent="0.3">
      <c r="A175" s="1">
        <v>45831</v>
      </c>
      <c r="B175" t="str">
        <f t="shared" si="14"/>
        <v>ORD174</v>
      </c>
      <c r="C175" t="str">
        <f t="shared" ca="1" si="15"/>
        <v>Sports Equipment</v>
      </c>
      <c r="D175" t="str">
        <f t="shared" ca="1" si="16"/>
        <v>Tennis Racket</v>
      </c>
      <c r="E175" t="str">
        <f t="shared" ca="1" si="17"/>
        <v>North</v>
      </c>
      <c r="F175">
        <f t="shared" ca="1" si="18"/>
        <v>20586</v>
      </c>
      <c r="G175">
        <f t="shared" ca="1" si="19"/>
        <v>30</v>
      </c>
      <c r="H175">
        <f t="shared" ca="1" si="20"/>
        <v>617580</v>
      </c>
    </row>
    <row r="176" spans="1:8" x14ac:dyDescent="0.3">
      <c r="A176" s="1">
        <v>45832</v>
      </c>
      <c r="B176" t="str">
        <f t="shared" si="14"/>
        <v>ORD175</v>
      </c>
      <c r="C176" t="str">
        <f t="shared" ca="1" si="15"/>
        <v>Sports Equipment</v>
      </c>
      <c r="D176" t="str">
        <f t="shared" ca="1" si="16"/>
        <v>Dumbbells</v>
      </c>
      <c r="E176" t="str">
        <f t="shared" ca="1" si="17"/>
        <v>South</v>
      </c>
      <c r="F176">
        <f t="shared" ca="1" si="18"/>
        <v>11020</v>
      </c>
      <c r="G176">
        <f t="shared" ca="1" si="19"/>
        <v>27</v>
      </c>
      <c r="H176">
        <f t="shared" ca="1" si="20"/>
        <v>297540</v>
      </c>
    </row>
    <row r="177" spans="1:8" x14ac:dyDescent="0.3">
      <c r="A177" s="1">
        <v>45833</v>
      </c>
      <c r="B177" t="str">
        <f t="shared" si="14"/>
        <v>ORD176</v>
      </c>
      <c r="C177" t="str">
        <f t="shared" ca="1" si="15"/>
        <v>Food &amp; Beverages</v>
      </c>
      <c r="D177" t="str">
        <f t="shared" ca="1" si="16"/>
        <v>Tea Pack</v>
      </c>
      <c r="E177" t="str">
        <f t="shared" ca="1" si="17"/>
        <v>East</v>
      </c>
      <c r="F177">
        <f t="shared" ca="1" si="18"/>
        <v>829</v>
      </c>
      <c r="G177">
        <f t="shared" ca="1" si="19"/>
        <v>15</v>
      </c>
      <c r="H177">
        <f t="shared" ca="1" si="20"/>
        <v>12435</v>
      </c>
    </row>
    <row r="178" spans="1:8" x14ac:dyDescent="0.3">
      <c r="A178" s="1">
        <v>45834</v>
      </c>
      <c r="B178" t="str">
        <f t="shared" si="14"/>
        <v>ORD177</v>
      </c>
      <c r="C178" t="str">
        <f t="shared" ca="1" si="15"/>
        <v>Sports Equipment</v>
      </c>
      <c r="D178" t="str">
        <f t="shared" ca="1" si="16"/>
        <v>Bicycle</v>
      </c>
      <c r="E178" t="str">
        <f t="shared" ca="1" si="17"/>
        <v>South</v>
      </c>
      <c r="F178">
        <f t="shared" ca="1" si="18"/>
        <v>8593</v>
      </c>
      <c r="G178">
        <f t="shared" ca="1" si="19"/>
        <v>8</v>
      </c>
      <c r="H178">
        <f t="shared" ca="1" si="20"/>
        <v>68744</v>
      </c>
    </row>
    <row r="179" spans="1:8" x14ac:dyDescent="0.3">
      <c r="A179" s="1">
        <v>45835</v>
      </c>
      <c r="B179" t="str">
        <f t="shared" si="14"/>
        <v>ORD178</v>
      </c>
      <c r="C179" t="str">
        <f t="shared" ca="1" si="15"/>
        <v>Stationery</v>
      </c>
      <c r="D179" t="str">
        <f t="shared" ca="1" si="16"/>
        <v>Marker</v>
      </c>
      <c r="E179" t="str">
        <f t="shared" ca="1" si="17"/>
        <v>North</v>
      </c>
      <c r="F179">
        <f t="shared" ca="1" si="18"/>
        <v>484</v>
      </c>
      <c r="G179">
        <f t="shared" ca="1" si="19"/>
        <v>9</v>
      </c>
      <c r="H179">
        <f t="shared" ca="1" si="20"/>
        <v>4356</v>
      </c>
    </row>
    <row r="180" spans="1:8" x14ac:dyDescent="0.3">
      <c r="A180" s="1">
        <v>45836</v>
      </c>
      <c r="B180" t="str">
        <f t="shared" si="14"/>
        <v>ORD179</v>
      </c>
      <c r="C180" t="str">
        <f t="shared" ca="1" si="15"/>
        <v>Electronics</v>
      </c>
      <c r="D180" t="str">
        <f t="shared" ca="1" si="16"/>
        <v>Tablet</v>
      </c>
      <c r="E180" t="str">
        <f t="shared" ca="1" si="17"/>
        <v>South</v>
      </c>
      <c r="F180">
        <f t="shared" ca="1" si="18"/>
        <v>27725</v>
      </c>
      <c r="G180">
        <f t="shared" ca="1" si="19"/>
        <v>5</v>
      </c>
      <c r="H180">
        <f t="shared" ca="1" si="20"/>
        <v>138625</v>
      </c>
    </row>
    <row r="181" spans="1:8" x14ac:dyDescent="0.3">
      <c r="A181" s="1">
        <v>45837</v>
      </c>
      <c r="B181" t="str">
        <f t="shared" si="14"/>
        <v>ORD180</v>
      </c>
      <c r="C181" t="str">
        <f t="shared" ca="1" si="15"/>
        <v>Electronics</v>
      </c>
      <c r="D181" t="str">
        <f t="shared" ca="1" si="16"/>
        <v>Tablet</v>
      </c>
      <c r="E181" t="str">
        <f t="shared" ca="1" si="17"/>
        <v>West</v>
      </c>
      <c r="F181">
        <f t="shared" ca="1" si="18"/>
        <v>43349</v>
      </c>
      <c r="G181">
        <f t="shared" ca="1" si="19"/>
        <v>7</v>
      </c>
      <c r="H181">
        <f t="shared" ca="1" si="20"/>
        <v>303443</v>
      </c>
    </row>
    <row r="182" spans="1:8" x14ac:dyDescent="0.3">
      <c r="A182" s="1">
        <v>45838</v>
      </c>
      <c r="B182" t="str">
        <f t="shared" si="14"/>
        <v>ORD181</v>
      </c>
      <c r="C182" t="str">
        <f t="shared" ca="1" si="15"/>
        <v>Stationery</v>
      </c>
      <c r="D182" t="str">
        <f t="shared" ca="1" si="16"/>
        <v>Notebook</v>
      </c>
      <c r="E182" t="str">
        <f t="shared" ca="1" si="17"/>
        <v>North</v>
      </c>
      <c r="F182">
        <f t="shared" ca="1" si="18"/>
        <v>2203</v>
      </c>
      <c r="G182">
        <f t="shared" ca="1" si="19"/>
        <v>2</v>
      </c>
      <c r="H182">
        <f t="shared" ca="1" si="20"/>
        <v>4406</v>
      </c>
    </row>
    <row r="183" spans="1:8" x14ac:dyDescent="0.3">
      <c r="A183" s="1">
        <v>45839</v>
      </c>
      <c r="B183" t="str">
        <f t="shared" si="14"/>
        <v>ORD182</v>
      </c>
      <c r="C183" t="str">
        <f t="shared" ca="1" si="15"/>
        <v>Furniture</v>
      </c>
      <c r="D183" t="str">
        <f t="shared" ca="1" si="16"/>
        <v>Bed</v>
      </c>
      <c r="E183" t="str">
        <f t="shared" ca="1" si="17"/>
        <v>South</v>
      </c>
      <c r="F183">
        <f t="shared" ca="1" si="18"/>
        <v>26053</v>
      </c>
      <c r="G183">
        <f t="shared" ca="1" si="19"/>
        <v>16</v>
      </c>
      <c r="H183">
        <f t="shared" ca="1" si="20"/>
        <v>416848</v>
      </c>
    </row>
    <row r="184" spans="1:8" x14ac:dyDescent="0.3">
      <c r="A184" s="1">
        <v>45840</v>
      </c>
      <c r="B184" t="str">
        <f t="shared" si="14"/>
        <v>ORD183</v>
      </c>
      <c r="C184" t="str">
        <f t="shared" ca="1" si="15"/>
        <v>Clothing</v>
      </c>
      <c r="D184" t="str">
        <f t="shared" ca="1" si="16"/>
        <v>Shoes</v>
      </c>
      <c r="E184" t="str">
        <f t="shared" ca="1" si="17"/>
        <v>West</v>
      </c>
      <c r="F184">
        <f t="shared" ca="1" si="18"/>
        <v>5903</v>
      </c>
      <c r="G184">
        <f t="shared" ca="1" si="19"/>
        <v>16</v>
      </c>
      <c r="H184">
        <f t="shared" ca="1" si="20"/>
        <v>94448</v>
      </c>
    </row>
    <row r="185" spans="1:8" x14ac:dyDescent="0.3">
      <c r="A185" s="1">
        <v>45841</v>
      </c>
      <c r="B185" t="str">
        <f t="shared" si="14"/>
        <v>ORD184</v>
      </c>
      <c r="C185" t="str">
        <f t="shared" ca="1" si="15"/>
        <v>Sports Equipment</v>
      </c>
      <c r="D185" t="str">
        <f t="shared" ca="1" si="16"/>
        <v>Football</v>
      </c>
      <c r="E185" t="str">
        <f t="shared" ca="1" si="17"/>
        <v>East</v>
      </c>
      <c r="F185">
        <f t="shared" ca="1" si="18"/>
        <v>2286</v>
      </c>
      <c r="G185">
        <f t="shared" ca="1" si="19"/>
        <v>8</v>
      </c>
      <c r="H185">
        <f t="shared" ca="1" si="20"/>
        <v>18288</v>
      </c>
    </row>
    <row r="186" spans="1:8" x14ac:dyDescent="0.3">
      <c r="A186" s="1">
        <v>45842</v>
      </c>
      <c r="B186" t="str">
        <f t="shared" si="14"/>
        <v>ORD185</v>
      </c>
      <c r="C186" t="str">
        <f t="shared" ca="1" si="15"/>
        <v>Electronics</v>
      </c>
      <c r="D186" t="str">
        <f t="shared" ca="1" si="16"/>
        <v>Smartphone</v>
      </c>
      <c r="E186" t="str">
        <f t="shared" ca="1" si="17"/>
        <v>North</v>
      </c>
      <c r="F186">
        <f t="shared" ca="1" si="18"/>
        <v>42029</v>
      </c>
      <c r="G186">
        <f t="shared" ca="1" si="19"/>
        <v>2</v>
      </c>
      <c r="H186">
        <f t="shared" ca="1" si="20"/>
        <v>84058</v>
      </c>
    </row>
    <row r="187" spans="1:8" x14ac:dyDescent="0.3">
      <c r="A187" s="1">
        <v>45843</v>
      </c>
      <c r="B187" t="str">
        <f t="shared" si="14"/>
        <v>ORD186</v>
      </c>
      <c r="C187" t="str">
        <f t="shared" ca="1" si="15"/>
        <v>Food &amp; Beverages</v>
      </c>
      <c r="D187" t="str">
        <f t="shared" ca="1" si="16"/>
        <v>Coffee Pack</v>
      </c>
      <c r="E187" t="str">
        <f t="shared" ca="1" si="17"/>
        <v>West</v>
      </c>
      <c r="F187">
        <f t="shared" ca="1" si="18"/>
        <v>2833</v>
      </c>
      <c r="G187">
        <f t="shared" ca="1" si="19"/>
        <v>8</v>
      </c>
      <c r="H187">
        <f t="shared" ca="1" si="20"/>
        <v>22664</v>
      </c>
    </row>
    <row r="188" spans="1:8" x14ac:dyDescent="0.3">
      <c r="A188" s="1">
        <v>45844</v>
      </c>
      <c r="B188" t="str">
        <f t="shared" si="14"/>
        <v>ORD187</v>
      </c>
      <c r="C188" t="str">
        <f t="shared" ca="1" si="15"/>
        <v>Furniture</v>
      </c>
      <c r="D188" t="str">
        <f t="shared" ca="1" si="16"/>
        <v>Sofa</v>
      </c>
      <c r="E188" t="str">
        <f t="shared" ca="1" si="17"/>
        <v>East</v>
      </c>
      <c r="F188">
        <f t="shared" ca="1" si="18"/>
        <v>22923</v>
      </c>
      <c r="G188">
        <f t="shared" ca="1" si="19"/>
        <v>7</v>
      </c>
      <c r="H188">
        <f t="shared" ca="1" si="20"/>
        <v>160461</v>
      </c>
    </row>
    <row r="189" spans="1:8" x14ac:dyDescent="0.3">
      <c r="A189" s="1">
        <v>45845</v>
      </c>
      <c r="B189" t="str">
        <f t="shared" si="14"/>
        <v>ORD188</v>
      </c>
      <c r="C189" t="str">
        <f t="shared" ca="1" si="15"/>
        <v>Sports Equipment</v>
      </c>
      <c r="D189" t="str">
        <f t="shared" ca="1" si="16"/>
        <v>Bicycle</v>
      </c>
      <c r="E189" t="str">
        <f t="shared" ca="1" si="17"/>
        <v>East</v>
      </c>
      <c r="F189">
        <f t="shared" ca="1" si="18"/>
        <v>11823</v>
      </c>
      <c r="G189">
        <f t="shared" ca="1" si="19"/>
        <v>21</v>
      </c>
      <c r="H189">
        <f t="shared" ca="1" si="20"/>
        <v>248283</v>
      </c>
    </row>
    <row r="190" spans="1:8" x14ac:dyDescent="0.3">
      <c r="A190" s="1">
        <v>45846</v>
      </c>
      <c r="B190" t="str">
        <f t="shared" si="14"/>
        <v>ORD189</v>
      </c>
      <c r="C190" t="str">
        <f t="shared" ca="1" si="15"/>
        <v>Furniture</v>
      </c>
      <c r="D190" t="str">
        <f t="shared" ca="1" si="16"/>
        <v>Bookshelf</v>
      </c>
      <c r="E190" t="str">
        <f t="shared" ca="1" si="17"/>
        <v>West</v>
      </c>
      <c r="F190">
        <f t="shared" ca="1" si="18"/>
        <v>29136</v>
      </c>
      <c r="G190">
        <f t="shared" ca="1" si="19"/>
        <v>14</v>
      </c>
      <c r="H190">
        <f t="shared" ca="1" si="20"/>
        <v>407904</v>
      </c>
    </row>
    <row r="191" spans="1:8" x14ac:dyDescent="0.3">
      <c r="A191" s="1">
        <v>45847</v>
      </c>
      <c r="B191" t="str">
        <f t="shared" si="14"/>
        <v>ORD190</v>
      </c>
      <c r="C191" t="str">
        <f t="shared" ca="1" si="15"/>
        <v>Food &amp; Beverages</v>
      </c>
      <c r="D191" t="str">
        <f t="shared" ca="1" si="16"/>
        <v>Tea Pack</v>
      </c>
      <c r="E191" t="str">
        <f t="shared" ca="1" si="17"/>
        <v>South</v>
      </c>
      <c r="F191">
        <f t="shared" ca="1" si="18"/>
        <v>4747</v>
      </c>
      <c r="G191">
        <f t="shared" ca="1" si="19"/>
        <v>15</v>
      </c>
      <c r="H191">
        <f t="shared" ca="1" si="20"/>
        <v>71205</v>
      </c>
    </row>
    <row r="192" spans="1:8" x14ac:dyDescent="0.3">
      <c r="A192" s="1">
        <v>45848</v>
      </c>
      <c r="B192" t="str">
        <f t="shared" si="14"/>
        <v>ORD191</v>
      </c>
      <c r="C192" t="str">
        <f t="shared" ca="1" si="15"/>
        <v>Furniture</v>
      </c>
      <c r="D192" t="str">
        <f t="shared" ca="1" si="16"/>
        <v>Bookshelf</v>
      </c>
      <c r="E192" t="str">
        <f t="shared" ca="1" si="17"/>
        <v>North</v>
      </c>
      <c r="F192">
        <f t="shared" ca="1" si="18"/>
        <v>18886</v>
      </c>
      <c r="G192">
        <f t="shared" ca="1" si="19"/>
        <v>9</v>
      </c>
      <c r="H192">
        <f t="shared" ca="1" si="20"/>
        <v>169974</v>
      </c>
    </row>
    <row r="193" spans="1:8" x14ac:dyDescent="0.3">
      <c r="A193" s="1">
        <v>45849</v>
      </c>
      <c r="B193" t="str">
        <f t="shared" si="14"/>
        <v>ORD192</v>
      </c>
      <c r="C193" t="str">
        <f t="shared" ca="1" si="15"/>
        <v>Electronics</v>
      </c>
      <c r="D193" t="str">
        <f t="shared" ca="1" si="16"/>
        <v>Laptop</v>
      </c>
      <c r="E193" t="str">
        <f t="shared" ca="1" si="17"/>
        <v>North</v>
      </c>
      <c r="F193">
        <f t="shared" ca="1" si="18"/>
        <v>48253</v>
      </c>
      <c r="G193">
        <f t="shared" ca="1" si="19"/>
        <v>24</v>
      </c>
      <c r="H193">
        <f t="shared" ca="1" si="20"/>
        <v>1158072</v>
      </c>
    </row>
    <row r="194" spans="1:8" x14ac:dyDescent="0.3">
      <c r="A194" s="1">
        <v>45850</v>
      </c>
      <c r="B194" t="str">
        <f t="shared" si="14"/>
        <v>ORD193</v>
      </c>
      <c r="C194" t="str">
        <f t="shared" ca="1" si="15"/>
        <v>Clothing</v>
      </c>
      <c r="D194" t="str">
        <f t="shared" ca="1" si="16"/>
        <v>Jacket</v>
      </c>
      <c r="E194" t="str">
        <f t="shared" ca="1" si="17"/>
        <v>West</v>
      </c>
      <c r="F194">
        <f t="shared" ca="1" si="18"/>
        <v>6787</v>
      </c>
      <c r="G194">
        <f t="shared" ca="1" si="19"/>
        <v>1</v>
      </c>
      <c r="H194">
        <f t="shared" ca="1" si="20"/>
        <v>6787</v>
      </c>
    </row>
    <row r="195" spans="1:8" x14ac:dyDescent="0.3">
      <c r="A195" s="1">
        <v>45851</v>
      </c>
      <c r="B195" t="str">
        <f t="shared" ref="B195:B258" si="21">"ORD"&amp;TEXT(ROW(A195)-1,"000")</f>
        <v>ORD194</v>
      </c>
      <c r="C195" t="str">
        <f t="shared" ref="C195:C258" ca="1" si="22">CHOOSE(RANDBETWEEN(1,6),"Electronics","Furniture","Clothing","Food &amp; Beverages","Sports Equipment","Stationery")</f>
        <v>Furniture</v>
      </c>
      <c r="D195" t="str">
        <f t="shared" ref="D195:D258" ca="1" si="23">IF(C195="Electronics", CHOOSE(RANDBETWEEN(1,5),"Laptop","Smartphone","Tablet","Headphones","Smartwatch"),
 IF(C195="Furniture", CHOOSE(RANDBETWEEN(1,5),"Chair","Desk","Sofa","Bed","Bookshelf"),
 IF(C195="Clothing", CHOOSE(RANDBETWEEN(1,5),"Jacket","T-Shirt","Jeans","Dress","Shoes"),
 IF(C195="Food &amp; Beverages", CHOOSE(RANDBETWEEN(1,5),"Coffee Pack","Juice Bottle","Snack Box","Rice Bag","Tea Pack"),
 IF(C195="Sports Equipment", CHOOSE(RANDBETWEEN(1,5),"Football","Tennis Racket","Yoga Mat","Dumbbells","Bicycle"),
 IF(C195="Stationery", CHOOSE(RANDBETWEEN(1,5),"Notebook","Pen","Marker","Stapler","File Folder")))))))</f>
        <v>Bed</v>
      </c>
      <c r="E195" t="str">
        <f t="shared" ref="E195:E258" ca="1" si="24">CHOOSE(RANDBETWEEN(1,4),"North","South","East","West")</f>
        <v>South</v>
      </c>
      <c r="F195">
        <f t="shared" ref="F195:F258" ca="1" si="25">IF(C195="Electronics",RANDBETWEEN(20000,80000),
 IF(C195="Furniture",RANDBETWEEN(5000,30000),
 IF(C195="Clothing",RANDBETWEEN(1000,15000),
 IF(C195="Food &amp; Beverages",RANDBETWEEN(500,10000),
 IF(C195="Sports Equipment",RANDBETWEEN(2000,25000),
 IF(C195="Stationery",RANDBETWEEN(100,5000)))))))</f>
        <v>19750</v>
      </c>
      <c r="G195">
        <f t="shared" ref="G195:G258" ca="1" si="26">RANDBETWEEN(1,30)</f>
        <v>29</v>
      </c>
      <c r="H195">
        <f t="shared" ref="H195:H258" ca="1" si="27">F195 * G195</f>
        <v>572750</v>
      </c>
    </row>
    <row r="196" spans="1:8" x14ac:dyDescent="0.3">
      <c r="A196" s="1">
        <v>45852</v>
      </c>
      <c r="B196" t="str">
        <f t="shared" si="21"/>
        <v>ORD195</v>
      </c>
      <c r="C196" t="str">
        <f t="shared" ca="1" si="22"/>
        <v>Sports Equipment</v>
      </c>
      <c r="D196" t="str">
        <f t="shared" ca="1" si="23"/>
        <v>Yoga Mat</v>
      </c>
      <c r="E196" t="str">
        <f t="shared" ca="1" si="24"/>
        <v>North</v>
      </c>
      <c r="F196">
        <f t="shared" ca="1" si="25"/>
        <v>15431</v>
      </c>
      <c r="G196">
        <f t="shared" ca="1" si="26"/>
        <v>6</v>
      </c>
      <c r="H196">
        <f t="shared" ca="1" si="27"/>
        <v>92586</v>
      </c>
    </row>
    <row r="197" spans="1:8" x14ac:dyDescent="0.3">
      <c r="A197" s="1">
        <v>45853</v>
      </c>
      <c r="B197" t="str">
        <f t="shared" si="21"/>
        <v>ORD196</v>
      </c>
      <c r="C197" t="str">
        <f t="shared" ca="1" si="22"/>
        <v>Sports Equipment</v>
      </c>
      <c r="D197" t="str">
        <f t="shared" ca="1" si="23"/>
        <v>Dumbbells</v>
      </c>
      <c r="E197" t="str">
        <f t="shared" ca="1" si="24"/>
        <v>East</v>
      </c>
      <c r="F197">
        <f t="shared" ca="1" si="25"/>
        <v>13024</v>
      </c>
      <c r="G197">
        <f t="shared" ca="1" si="26"/>
        <v>10</v>
      </c>
      <c r="H197">
        <f t="shared" ca="1" si="27"/>
        <v>130240</v>
      </c>
    </row>
    <row r="198" spans="1:8" x14ac:dyDescent="0.3">
      <c r="A198" s="1">
        <v>45854</v>
      </c>
      <c r="B198" t="str">
        <f t="shared" si="21"/>
        <v>ORD197</v>
      </c>
      <c r="C198" t="str">
        <f t="shared" ca="1" si="22"/>
        <v>Electronics</v>
      </c>
      <c r="D198" t="str">
        <f t="shared" ca="1" si="23"/>
        <v>Headphones</v>
      </c>
      <c r="E198" t="str">
        <f t="shared" ca="1" si="24"/>
        <v>North</v>
      </c>
      <c r="F198">
        <f t="shared" ca="1" si="25"/>
        <v>68046</v>
      </c>
      <c r="G198">
        <f t="shared" ca="1" si="26"/>
        <v>19</v>
      </c>
      <c r="H198">
        <f t="shared" ca="1" si="27"/>
        <v>1292874</v>
      </c>
    </row>
    <row r="199" spans="1:8" x14ac:dyDescent="0.3">
      <c r="A199" s="1">
        <v>45855</v>
      </c>
      <c r="B199" t="str">
        <f t="shared" si="21"/>
        <v>ORD198</v>
      </c>
      <c r="C199" t="str">
        <f t="shared" ca="1" si="22"/>
        <v>Food &amp; Beverages</v>
      </c>
      <c r="D199" t="str">
        <f t="shared" ca="1" si="23"/>
        <v>Juice Bottle</v>
      </c>
      <c r="E199" t="str">
        <f t="shared" ca="1" si="24"/>
        <v>East</v>
      </c>
      <c r="F199">
        <f t="shared" ca="1" si="25"/>
        <v>7779</v>
      </c>
      <c r="G199">
        <f t="shared" ca="1" si="26"/>
        <v>16</v>
      </c>
      <c r="H199">
        <f t="shared" ca="1" si="27"/>
        <v>124464</v>
      </c>
    </row>
    <row r="200" spans="1:8" x14ac:dyDescent="0.3">
      <c r="A200" s="1">
        <v>45856</v>
      </c>
      <c r="B200" t="str">
        <f t="shared" si="21"/>
        <v>ORD199</v>
      </c>
      <c r="C200" t="str">
        <f t="shared" ca="1" si="22"/>
        <v>Electronics</v>
      </c>
      <c r="D200" t="str">
        <f t="shared" ca="1" si="23"/>
        <v>Laptop</v>
      </c>
      <c r="E200" t="str">
        <f t="shared" ca="1" si="24"/>
        <v>South</v>
      </c>
      <c r="F200">
        <f t="shared" ca="1" si="25"/>
        <v>28887</v>
      </c>
      <c r="G200">
        <f t="shared" ca="1" si="26"/>
        <v>4</v>
      </c>
      <c r="H200">
        <f t="shared" ca="1" si="27"/>
        <v>115548</v>
      </c>
    </row>
    <row r="201" spans="1:8" x14ac:dyDescent="0.3">
      <c r="A201" s="1">
        <v>45857</v>
      </c>
      <c r="B201" t="str">
        <f t="shared" si="21"/>
        <v>ORD200</v>
      </c>
      <c r="C201" t="str">
        <f t="shared" ca="1" si="22"/>
        <v>Clothing</v>
      </c>
      <c r="D201" t="str">
        <f t="shared" ca="1" si="23"/>
        <v>Jacket</v>
      </c>
      <c r="E201" t="str">
        <f t="shared" ca="1" si="24"/>
        <v>North</v>
      </c>
      <c r="F201">
        <f t="shared" ca="1" si="25"/>
        <v>3666</v>
      </c>
      <c r="G201">
        <f t="shared" ca="1" si="26"/>
        <v>28</v>
      </c>
      <c r="H201">
        <f t="shared" ca="1" si="27"/>
        <v>102648</v>
      </c>
    </row>
    <row r="202" spans="1:8" x14ac:dyDescent="0.3">
      <c r="A202" s="1">
        <v>45858</v>
      </c>
      <c r="B202" t="str">
        <f t="shared" si="21"/>
        <v>ORD201</v>
      </c>
      <c r="C202" t="str">
        <f t="shared" ca="1" si="22"/>
        <v>Stationery</v>
      </c>
      <c r="D202" t="str">
        <f t="shared" ca="1" si="23"/>
        <v>File Folder</v>
      </c>
      <c r="E202" t="str">
        <f t="shared" ca="1" si="24"/>
        <v>East</v>
      </c>
      <c r="F202">
        <f t="shared" ca="1" si="25"/>
        <v>1171</v>
      </c>
      <c r="G202">
        <f t="shared" ca="1" si="26"/>
        <v>27</v>
      </c>
      <c r="H202">
        <f t="shared" ca="1" si="27"/>
        <v>31617</v>
      </c>
    </row>
    <row r="203" spans="1:8" x14ac:dyDescent="0.3">
      <c r="A203" s="1">
        <v>45859</v>
      </c>
      <c r="B203" t="str">
        <f t="shared" si="21"/>
        <v>ORD202</v>
      </c>
      <c r="C203" t="str">
        <f t="shared" ca="1" si="22"/>
        <v>Food &amp; Beverages</v>
      </c>
      <c r="D203" t="str">
        <f t="shared" ca="1" si="23"/>
        <v>Snack Box</v>
      </c>
      <c r="E203" t="str">
        <f t="shared" ca="1" si="24"/>
        <v>South</v>
      </c>
      <c r="F203">
        <f t="shared" ca="1" si="25"/>
        <v>5579</v>
      </c>
      <c r="G203">
        <f t="shared" ca="1" si="26"/>
        <v>4</v>
      </c>
      <c r="H203">
        <f t="shared" ca="1" si="27"/>
        <v>22316</v>
      </c>
    </row>
    <row r="204" spans="1:8" x14ac:dyDescent="0.3">
      <c r="A204" s="1">
        <v>45860</v>
      </c>
      <c r="B204" t="str">
        <f t="shared" si="21"/>
        <v>ORD203</v>
      </c>
      <c r="C204" t="str">
        <f t="shared" ca="1" si="22"/>
        <v>Electronics</v>
      </c>
      <c r="D204" t="str">
        <f t="shared" ca="1" si="23"/>
        <v>Tablet</v>
      </c>
      <c r="E204" t="str">
        <f t="shared" ca="1" si="24"/>
        <v>East</v>
      </c>
      <c r="F204">
        <f t="shared" ca="1" si="25"/>
        <v>27389</v>
      </c>
      <c r="G204">
        <f t="shared" ca="1" si="26"/>
        <v>7</v>
      </c>
      <c r="H204">
        <f t="shared" ca="1" si="27"/>
        <v>191723</v>
      </c>
    </row>
    <row r="205" spans="1:8" x14ac:dyDescent="0.3">
      <c r="A205" s="1">
        <v>45861</v>
      </c>
      <c r="B205" t="str">
        <f t="shared" si="21"/>
        <v>ORD204</v>
      </c>
      <c r="C205" t="str">
        <f t="shared" ca="1" si="22"/>
        <v>Stationery</v>
      </c>
      <c r="D205" t="str">
        <f t="shared" ca="1" si="23"/>
        <v>Notebook</v>
      </c>
      <c r="E205" t="str">
        <f t="shared" ca="1" si="24"/>
        <v>South</v>
      </c>
      <c r="F205">
        <f t="shared" ca="1" si="25"/>
        <v>2939</v>
      </c>
      <c r="G205">
        <f t="shared" ca="1" si="26"/>
        <v>2</v>
      </c>
      <c r="H205">
        <f t="shared" ca="1" si="27"/>
        <v>5878</v>
      </c>
    </row>
    <row r="206" spans="1:8" x14ac:dyDescent="0.3">
      <c r="A206" s="1">
        <v>45862</v>
      </c>
      <c r="B206" t="str">
        <f t="shared" si="21"/>
        <v>ORD205</v>
      </c>
      <c r="C206" t="str">
        <f t="shared" ca="1" si="22"/>
        <v>Furniture</v>
      </c>
      <c r="D206" t="str">
        <f t="shared" ca="1" si="23"/>
        <v>Desk</v>
      </c>
      <c r="E206" t="str">
        <f t="shared" ca="1" si="24"/>
        <v>South</v>
      </c>
      <c r="F206">
        <f t="shared" ca="1" si="25"/>
        <v>12402</v>
      </c>
      <c r="G206">
        <f t="shared" ca="1" si="26"/>
        <v>23</v>
      </c>
      <c r="H206">
        <f t="shared" ca="1" si="27"/>
        <v>285246</v>
      </c>
    </row>
    <row r="207" spans="1:8" x14ac:dyDescent="0.3">
      <c r="A207" s="1">
        <v>45863</v>
      </c>
      <c r="B207" t="str">
        <f t="shared" si="21"/>
        <v>ORD206</v>
      </c>
      <c r="C207" t="str">
        <f t="shared" ca="1" si="22"/>
        <v>Clothing</v>
      </c>
      <c r="D207" t="str">
        <f t="shared" ca="1" si="23"/>
        <v>Dress</v>
      </c>
      <c r="E207" t="str">
        <f t="shared" ca="1" si="24"/>
        <v>North</v>
      </c>
      <c r="F207">
        <f t="shared" ca="1" si="25"/>
        <v>6291</v>
      </c>
      <c r="G207">
        <f t="shared" ca="1" si="26"/>
        <v>27</v>
      </c>
      <c r="H207">
        <f t="shared" ca="1" si="27"/>
        <v>169857</v>
      </c>
    </row>
    <row r="208" spans="1:8" x14ac:dyDescent="0.3">
      <c r="A208" s="1">
        <v>45864</v>
      </c>
      <c r="B208" t="str">
        <f t="shared" si="21"/>
        <v>ORD207</v>
      </c>
      <c r="C208" t="str">
        <f t="shared" ca="1" si="22"/>
        <v>Food &amp; Beverages</v>
      </c>
      <c r="D208" t="str">
        <f t="shared" ca="1" si="23"/>
        <v>Juice Bottle</v>
      </c>
      <c r="E208" t="str">
        <f t="shared" ca="1" si="24"/>
        <v>North</v>
      </c>
      <c r="F208">
        <f t="shared" ca="1" si="25"/>
        <v>7152</v>
      </c>
      <c r="G208">
        <f t="shared" ca="1" si="26"/>
        <v>10</v>
      </c>
      <c r="H208">
        <f t="shared" ca="1" si="27"/>
        <v>71520</v>
      </c>
    </row>
    <row r="209" spans="1:8" x14ac:dyDescent="0.3">
      <c r="A209" s="1">
        <v>45865</v>
      </c>
      <c r="B209" t="str">
        <f t="shared" si="21"/>
        <v>ORD208</v>
      </c>
      <c r="C209" t="str">
        <f t="shared" ca="1" si="22"/>
        <v>Electronics</v>
      </c>
      <c r="D209" t="str">
        <f t="shared" ca="1" si="23"/>
        <v>Laptop</v>
      </c>
      <c r="E209" t="str">
        <f t="shared" ca="1" si="24"/>
        <v>South</v>
      </c>
      <c r="F209">
        <f t="shared" ca="1" si="25"/>
        <v>67188</v>
      </c>
      <c r="G209">
        <f t="shared" ca="1" si="26"/>
        <v>4</v>
      </c>
      <c r="H209">
        <f t="shared" ca="1" si="27"/>
        <v>268752</v>
      </c>
    </row>
    <row r="210" spans="1:8" x14ac:dyDescent="0.3">
      <c r="A210" s="1">
        <v>45866</v>
      </c>
      <c r="B210" t="str">
        <f t="shared" si="21"/>
        <v>ORD209</v>
      </c>
      <c r="C210" t="str">
        <f t="shared" ca="1" si="22"/>
        <v>Electronics</v>
      </c>
      <c r="D210" t="str">
        <f t="shared" ca="1" si="23"/>
        <v>Smartphone</v>
      </c>
      <c r="E210" t="str">
        <f t="shared" ca="1" si="24"/>
        <v>East</v>
      </c>
      <c r="F210">
        <f t="shared" ca="1" si="25"/>
        <v>75973</v>
      </c>
      <c r="G210">
        <f t="shared" ca="1" si="26"/>
        <v>22</v>
      </c>
      <c r="H210">
        <f t="shared" ca="1" si="27"/>
        <v>1671406</v>
      </c>
    </row>
    <row r="211" spans="1:8" x14ac:dyDescent="0.3">
      <c r="A211" s="1">
        <v>45867</v>
      </c>
      <c r="B211" t="str">
        <f t="shared" si="21"/>
        <v>ORD210</v>
      </c>
      <c r="C211" t="str">
        <f t="shared" ca="1" si="22"/>
        <v>Stationery</v>
      </c>
      <c r="D211" t="str">
        <f t="shared" ca="1" si="23"/>
        <v>Pen</v>
      </c>
      <c r="E211" t="str">
        <f t="shared" ca="1" si="24"/>
        <v>North</v>
      </c>
      <c r="F211">
        <f t="shared" ca="1" si="25"/>
        <v>2204</v>
      </c>
      <c r="G211">
        <f t="shared" ca="1" si="26"/>
        <v>10</v>
      </c>
      <c r="H211">
        <f t="shared" ca="1" si="27"/>
        <v>22040</v>
      </c>
    </row>
    <row r="212" spans="1:8" x14ac:dyDescent="0.3">
      <c r="A212" s="1">
        <v>45868</v>
      </c>
      <c r="B212" t="str">
        <f t="shared" si="21"/>
        <v>ORD211</v>
      </c>
      <c r="C212" t="str">
        <f t="shared" ca="1" si="22"/>
        <v>Stationery</v>
      </c>
      <c r="D212" t="str">
        <f t="shared" ca="1" si="23"/>
        <v>Notebook</v>
      </c>
      <c r="E212" t="str">
        <f t="shared" ca="1" si="24"/>
        <v>South</v>
      </c>
      <c r="F212">
        <f t="shared" ca="1" si="25"/>
        <v>783</v>
      </c>
      <c r="G212">
        <f t="shared" ca="1" si="26"/>
        <v>15</v>
      </c>
      <c r="H212">
        <f t="shared" ca="1" si="27"/>
        <v>11745</v>
      </c>
    </row>
    <row r="213" spans="1:8" x14ac:dyDescent="0.3">
      <c r="A213" s="1">
        <v>45869</v>
      </c>
      <c r="B213" t="str">
        <f t="shared" si="21"/>
        <v>ORD212</v>
      </c>
      <c r="C213" t="str">
        <f t="shared" ca="1" si="22"/>
        <v>Electronics</v>
      </c>
      <c r="D213" t="str">
        <f t="shared" ca="1" si="23"/>
        <v>Smartphone</v>
      </c>
      <c r="E213" t="str">
        <f t="shared" ca="1" si="24"/>
        <v>East</v>
      </c>
      <c r="F213">
        <f t="shared" ca="1" si="25"/>
        <v>62198</v>
      </c>
      <c r="G213">
        <f t="shared" ca="1" si="26"/>
        <v>25</v>
      </c>
      <c r="H213">
        <f t="shared" ca="1" si="27"/>
        <v>1554950</v>
      </c>
    </row>
    <row r="214" spans="1:8" x14ac:dyDescent="0.3">
      <c r="A214" s="1">
        <v>45870</v>
      </c>
      <c r="B214" t="str">
        <f t="shared" si="21"/>
        <v>ORD213</v>
      </c>
      <c r="C214" t="str">
        <f t="shared" ca="1" si="22"/>
        <v>Electronics</v>
      </c>
      <c r="D214" t="str">
        <f t="shared" ca="1" si="23"/>
        <v>Tablet</v>
      </c>
      <c r="E214" t="str">
        <f t="shared" ca="1" si="24"/>
        <v>East</v>
      </c>
      <c r="F214">
        <f t="shared" ca="1" si="25"/>
        <v>49347</v>
      </c>
      <c r="G214">
        <f t="shared" ca="1" si="26"/>
        <v>5</v>
      </c>
      <c r="H214">
        <f t="shared" ca="1" si="27"/>
        <v>246735</v>
      </c>
    </row>
    <row r="215" spans="1:8" x14ac:dyDescent="0.3">
      <c r="A215" s="1">
        <v>45871</v>
      </c>
      <c r="B215" t="str">
        <f t="shared" si="21"/>
        <v>ORD214</v>
      </c>
      <c r="C215" t="str">
        <f t="shared" ca="1" si="22"/>
        <v>Food &amp; Beverages</v>
      </c>
      <c r="D215" t="str">
        <f t="shared" ca="1" si="23"/>
        <v>Tea Pack</v>
      </c>
      <c r="E215" t="str">
        <f t="shared" ca="1" si="24"/>
        <v>North</v>
      </c>
      <c r="F215">
        <f t="shared" ca="1" si="25"/>
        <v>5003</v>
      </c>
      <c r="G215">
        <f t="shared" ca="1" si="26"/>
        <v>16</v>
      </c>
      <c r="H215">
        <f t="shared" ca="1" si="27"/>
        <v>80048</v>
      </c>
    </row>
    <row r="216" spans="1:8" x14ac:dyDescent="0.3">
      <c r="A216" s="1">
        <v>45872</v>
      </c>
      <c r="B216" t="str">
        <f t="shared" si="21"/>
        <v>ORD215</v>
      </c>
      <c r="C216" t="str">
        <f t="shared" ca="1" si="22"/>
        <v>Stationery</v>
      </c>
      <c r="D216" t="str">
        <f t="shared" ca="1" si="23"/>
        <v>Stapler</v>
      </c>
      <c r="E216" t="str">
        <f t="shared" ca="1" si="24"/>
        <v>East</v>
      </c>
      <c r="F216">
        <f t="shared" ca="1" si="25"/>
        <v>4168</v>
      </c>
      <c r="G216">
        <f t="shared" ca="1" si="26"/>
        <v>25</v>
      </c>
      <c r="H216">
        <f t="shared" ca="1" si="27"/>
        <v>104200</v>
      </c>
    </row>
    <row r="217" spans="1:8" x14ac:dyDescent="0.3">
      <c r="A217" s="1">
        <v>45873</v>
      </c>
      <c r="B217" t="str">
        <f t="shared" si="21"/>
        <v>ORD216</v>
      </c>
      <c r="C217" t="str">
        <f t="shared" ca="1" si="22"/>
        <v>Food &amp; Beverages</v>
      </c>
      <c r="D217" t="str">
        <f t="shared" ca="1" si="23"/>
        <v>Coffee Pack</v>
      </c>
      <c r="E217" t="str">
        <f t="shared" ca="1" si="24"/>
        <v>North</v>
      </c>
      <c r="F217">
        <f t="shared" ca="1" si="25"/>
        <v>3364</v>
      </c>
      <c r="G217">
        <f t="shared" ca="1" si="26"/>
        <v>27</v>
      </c>
      <c r="H217">
        <f t="shared" ca="1" si="27"/>
        <v>90828</v>
      </c>
    </row>
    <row r="218" spans="1:8" x14ac:dyDescent="0.3">
      <c r="A218" s="1">
        <v>45874</v>
      </c>
      <c r="B218" t="str">
        <f t="shared" si="21"/>
        <v>ORD217</v>
      </c>
      <c r="C218" t="str">
        <f t="shared" ca="1" si="22"/>
        <v>Electronics</v>
      </c>
      <c r="D218" t="str">
        <f t="shared" ca="1" si="23"/>
        <v>Tablet</v>
      </c>
      <c r="E218" t="str">
        <f t="shared" ca="1" si="24"/>
        <v>West</v>
      </c>
      <c r="F218">
        <f t="shared" ca="1" si="25"/>
        <v>62599</v>
      </c>
      <c r="G218">
        <f t="shared" ca="1" si="26"/>
        <v>27</v>
      </c>
      <c r="H218">
        <f t="shared" ca="1" si="27"/>
        <v>1690173</v>
      </c>
    </row>
    <row r="219" spans="1:8" x14ac:dyDescent="0.3">
      <c r="A219" s="1">
        <v>45875</v>
      </c>
      <c r="B219" t="str">
        <f t="shared" si="21"/>
        <v>ORD218</v>
      </c>
      <c r="C219" t="str">
        <f t="shared" ca="1" si="22"/>
        <v>Food &amp; Beverages</v>
      </c>
      <c r="D219" t="str">
        <f t="shared" ca="1" si="23"/>
        <v>Juice Bottle</v>
      </c>
      <c r="E219" t="str">
        <f t="shared" ca="1" si="24"/>
        <v>East</v>
      </c>
      <c r="F219">
        <f t="shared" ca="1" si="25"/>
        <v>8621</v>
      </c>
      <c r="G219">
        <f t="shared" ca="1" si="26"/>
        <v>7</v>
      </c>
      <c r="H219">
        <f t="shared" ca="1" si="27"/>
        <v>60347</v>
      </c>
    </row>
    <row r="220" spans="1:8" x14ac:dyDescent="0.3">
      <c r="A220" s="1">
        <v>45876</v>
      </c>
      <c r="B220" t="str">
        <f t="shared" si="21"/>
        <v>ORD219</v>
      </c>
      <c r="C220" t="str">
        <f t="shared" ca="1" si="22"/>
        <v>Food &amp; Beverages</v>
      </c>
      <c r="D220" t="str">
        <f t="shared" ca="1" si="23"/>
        <v>Snack Box</v>
      </c>
      <c r="E220" t="str">
        <f t="shared" ca="1" si="24"/>
        <v>East</v>
      </c>
      <c r="F220">
        <f t="shared" ca="1" si="25"/>
        <v>3184</v>
      </c>
      <c r="G220">
        <f t="shared" ca="1" si="26"/>
        <v>23</v>
      </c>
      <c r="H220">
        <f t="shared" ca="1" si="27"/>
        <v>73232</v>
      </c>
    </row>
    <row r="221" spans="1:8" x14ac:dyDescent="0.3">
      <c r="A221" s="1">
        <v>45877</v>
      </c>
      <c r="B221" t="str">
        <f t="shared" si="21"/>
        <v>ORD220</v>
      </c>
      <c r="C221" t="str">
        <f t="shared" ca="1" si="22"/>
        <v>Electronics</v>
      </c>
      <c r="D221" t="str">
        <f t="shared" ca="1" si="23"/>
        <v>Headphones</v>
      </c>
      <c r="E221" t="str">
        <f t="shared" ca="1" si="24"/>
        <v>South</v>
      </c>
      <c r="F221">
        <f t="shared" ca="1" si="25"/>
        <v>61575</v>
      </c>
      <c r="G221">
        <f t="shared" ca="1" si="26"/>
        <v>9</v>
      </c>
      <c r="H221">
        <f t="shared" ca="1" si="27"/>
        <v>554175</v>
      </c>
    </row>
    <row r="222" spans="1:8" x14ac:dyDescent="0.3">
      <c r="A222" s="1">
        <v>45878</v>
      </c>
      <c r="B222" t="str">
        <f t="shared" si="21"/>
        <v>ORD221</v>
      </c>
      <c r="C222" t="str">
        <f t="shared" ca="1" si="22"/>
        <v>Furniture</v>
      </c>
      <c r="D222" t="str">
        <f t="shared" ca="1" si="23"/>
        <v>Desk</v>
      </c>
      <c r="E222" t="str">
        <f t="shared" ca="1" si="24"/>
        <v>East</v>
      </c>
      <c r="F222">
        <f t="shared" ca="1" si="25"/>
        <v>14093</v>
      </c>
      <c r="G222">
        <f t="shared" ca="1" si="26"/>
        <v>24</v>
      </c>
      <c r="H222">
        <f t="shared" ca="1" si="27"/>
        <v>338232</v>
      </c>
    </row>
    <row r="223" spans="1:8" x14ac:dyDescent="0.3">
      <c r="A223" s="1">
        <v>45879</v>
      </c>
      <c r="B223" t="str">
        <f t="shared" si="21"/>
        <v>ORD222</v>
      </c>
      <c r="C223" t="str">
        <f t="shared" ca="1" si="22"/>
        <v>Furniture</v>
      </c>
      <c r="D223" t="str">
        <f t="shared" ca="1" si="23"/>
        <v>Desk</v>
      </c>
      <c r="E223" t="str">
        <f t="shared" ca="1" si="24"/>
        <v>North</v>
      </c>
      <c r="F223">
        <f t="shared" ca="1" si="25"/>
        <v>20312</v>
      </c>
      <c r="G223">
        <f t="shared" ca="1" si="26"/>
        <v>30</v>
      </c>
      <c r="H223">
        <f t="shared" ca="1" si="27"/>
        <v>609360</v>
      </c>
    </row>
    <row r="224" spans="1:8" x14ac:dyDescent="0.3">
      <c r="A224" s="1">
        <v>45880</v>
      </c>
      <c r="B224" t="str">
        <f t="shared" si="21"/>
        <v>ORD223</v>
      </c>
      <c r="C224" t="str">
        <f t="shared" ca="1" si="22"/>
        <v>Sports Equipment</v>
      </c>
      <c r="D224" t="str">
        <f t="shared" ca="1" si="23"/>
        <v>Football</v>
      </c>
      <c r="E224" t="str">
        <f t="shared" ca="1" si="24"/>
        <v>West</v>
      </c>
      <c r="F224">
        <f t="shared" ca="1" si="25"/>
        <v>23803</v>
      </c>
      <c r="G224">
        <f t="shared" ca="1" si="26"/>
        <v>2</v>
      </c>
      <c r="H224">
        <f t="shared" ca="1" si="27"/>
        <v>47606</v>
      </c>
    </row>
    <row r="225" spans="1:8" x14ac:dyDescent="0.3">
      <c r="A225" s="1">
        <v>45881</v>
      </c>
      <c r="B225" t="str">
        <f t="shared" si="21"/>
        <v>ORD224</v>
      </c>
      <c r="C225" t="str">
        <f t="shared" ca="1" si="22"/>
        <v>Furniture</v>
      </c>
      <c r="D225" t="str">
        <f t="shared" ca="1" si="23"/>
        <v>Chair</v>
      </c>
      <c r="E225" t="str">
        <f t="shared" ca="1" si="24"/>
        <v>West</v>
      </c>
      <c r="F225">
        <f t="shared" ca="1" si="25"/>
        <v>19533</v>
      </c>
      <c r="G225">
        <f t="shared" ca="1" si="26"/>
        <v>17</v>
      </c>
      <c r="H225">
        <f t="shared" ca="1" si="27"/>
        <v>332061</v>
      </c>
    </row>
    <row r="226" spans="1:8" x14ac:dyDescent="0.3">
      <c r="A226" s="1">
        <v>45882</v>
      </c>
      <c r="B226" t="str">
        <f t="shared" si="21"/>
        <v>ORD225</v>
      </c>
      <c r="C226" t="str">
        <f t="shared" ca="1" si="22"/>
        <v>Food &amp; Beverages</v>
      </c>
      <c r="D226" t="str">
        <f t="shared" ca="1" si="23"/>
        <v>Tea Pack</v>
      </c>
      <c r="E226" t="str">
        <f t="shared" ca="1" si="24"/>
        <v>West</v>
      </c>
      <c r="F226">
        <f t="shared" ca="1" si="25"/>
        <v>8069</v>
      </c>
      <c r="G226">
        <f t="shared" ca="1" si="26"/>
        <v>25</v>
      </c>
      <c r="H226">
        <f t="shared" ca="1" si="27"/>
        <v>201725</v>
      </c>
    </row>
    <row r="227" spans="1:8" x14ac:dyDescent="0.3">
      <c r="A227" s="1">
        <v>45883</v>
      </c>
      <c r="B227" t="str">
        <f t="shared" si="21"/>
        <v>ORD226</v>
      </c>
      <c r="C227" t="str">
        <f t="shared" ca="1" si="22"/>
        <v>Stationery</v>
      </c>
      <c r="D227" t="str">
        <f t="shared" ca="1" si="23"/>
        <v>File Folder</v>
      </c>
      <c r="E227" t="str">
        <f t="shared" ca="1" si="24"/>
        <v>South</v>
      </c>
      <c r="F227">
        <f t="shared" ca="1" si="25"/>
        <v>501</v>
      </c>
      <c r="G227">
        <f t="shared" ca="1" si="26"/>
        <v>30</v>
      </c>
      <c r="H227">
        <f t="shared" ca="1" si="27"/>
        <v>15030</v>
      </c>
    </row>
    <row r="228" spans="1:8" x14ac:dyDescent="0.3">
      <c r="A228" s="1">
        <v>45884</v>
      </c>
      <c r="B228" t="str">
        <f t="shared" si="21"/>
        <v>ORD227</v>
      </c>
      <c r="C228" t="str">
        <f t="shared" ca="1" si="22"/>
        <v>Sports Equipment</v>
      </c>
      <c r="D228" t="str">
        <f t="shared" ca="1" si="23"/>
        <v>Bicycle</v>
      </c>
      <c r="E228" t="str">
        <f t="shared" ca="1" si="24"/>
        <v>West</v>
      </c>
      <c r="F228">
        <f t="shared" ca="1" si="25"/>
        <v>13068</v>
      </c>
      <c r="G228">
        <f t="shared" ca="1" si="26"/>
        <v>4</v>
      </c>
      <c r="H228">
        <f t="shared" ca="1" si="27"/>
        <v>52272</v>
      </c>
    </row>
    <row r="229" spans="1:8" x14ac:dyDescent="0.3">
      <c r="A229" s="1">
        <v>45885</v>
      </c>
      <c r="B229" t="str">
        <f t="shared" si="21"/>
        <v>ORD228</v>
      </c>
      <c r="C229" t="str">
        <f t="shared" ca="1" si="22"/>
        <v>Sports Equipment</v>
      </c>
      <c r="D229" t="str">
        <f t="shared" ca="1" si="23"/>
        <v>Yoga Mat</v>
      </c>
      <c r="E229" t="str">
        <f t="shared" ca="1" si="24"/>
        <v>West</v>
      </c>
      <c r="F229">
        <f t="shared" ca="1" si="25"/>
        <v>6817</v>
      </c>
      <c r="G229">
        <f t="shared" ca="1" si="26"/>
        <v>11</v>
      </c>
      <c r="H229">
        <f t="shared" ca="1" si="27"/>
        <v>74987</v>
      </c>
    </row>
    <row r="230" spans="1:8" x14ac:dyDescent="0.3">
      <c r="A230" s="1">
        <v>45886</v>
      </c>
      <c r="B230" t="str">
        <f t="shared" si="21"/>
        <v>ORD229</v>
      </c>
      <c r="C230" t="str">
        <f t="shared" ca="1" si="22"/>
        <v>Clothing</v>
      </c>
      <c r="D230" t="str">
        <f t="shared" ca="1" si="23"/>
        <v>Shoes</v>
      </c>
      <c r="E230" t="str">
        <f t="shared" ca="1" si="24"/>
        <v>North</v>
      </c>
      <c r="F230">
        <f t="shared" ca="1" si="25"/>
        <v>11129</v>
      </c>
      <c r="G230">
        <f t="shared" ca="1" si="26"/>
        <v>29</v>
      </c>
      <c r="H230">
        <f t="shared" ca="1" si="27"/>
        <v>322741</v>
      </c>
    </row>
    <row r="231" spans="1:8" x14ac:dyDescent="0.3">
      <c r="A231" s="1">
        <v>45887</v>
      </c>
      <c r="B231" t="str">
        <f t="shared" si="21"/>
        <v>ORD230</v>
      </c>
      <c r="C231" t="str">
        <f t="shared" ca="1" si="22"/>
        <v>Clothing</v>
      </c>
      <c r="D231" t="str">
        <f t="shared" ca="1" si="23"/>
        <v>Dress</v>
      </c>
      <c r="E231" t="str">
        <f t="shared" ca="1" si="24"/>
        <v>East</v>
      </c>
      <c r="F231">
        <f t="shared" ca="1" si="25"/>
        <v>13015</v>
      </c>
      <c r="G231">
        <f t="shared" ca="1" si="26"/>
        <v>24</v>
      </c>
      <c r="H231">
        <f t="shared" ca="1" si="27"/>
        <v>312360</v>
      </c>
    </row>
    <row r="232" spans="1:8" x14ac:dyDescent="0.3">
      <c r="A232" s="1">
        <v>45888</v>
      </c>
      <c r="B232" t="str">
        <f t="shared" si="21"/>
        <v>ORD231</v>
      </c>
      <c r="C232" t="str">
        <f t="shared" ca="1" si="22"/>
        <v>Clothing</v>
      </c>
      <c r="D232" t="str">
        <f t="shared" ca="1" si="23"/>
        <v>Jacket</v>
      </c>
      <c r="E232" t="str">
        <f t="shared" ca="1" si="24"/>
        <v>South</v>
      </c>
      <c r="F232">
        <f t="shared" ca="1" si="25"/>
        <v>1426</v>
      </c>
      <c r="G232">
        <f t="shared" ca="1" si="26"/>
        <v>18</v>
      </c>
      <c r="H232">
        <f t="shared" ca="1" si="27"/>
        <v>25668</v>
      </c>
    </row>
    <row r="233" spans="1:8" x14ac:dyDescent="0.3">
      <c r="A233" s="1">
        <v>45889</v>
      </c>
      <c r="B233" t="str">
        <f t="shared" si="21"/>
        <v>ORD232</v>
      </c>
      <c r="C233" t="str">
        <f t="shared" ca="1" si="22"/>
        <v>Electronics</v>
      </c>
      <c r="D233" t="str">
        <f t="shared" ca="1" si="23"/>
        <v>Laptop</v>
      </c>
      <c r="E233" t="str">
        <f t="shared" ca="1" si="24"/>
        <v>West</v>
      </c>
      <c r="F233">
        <f t="shared" ca="1" si="25"/>
        <v>68624</v>
      </c>
      <c r="G233">
        <f t="shared" ca="1" si="26"/>
        <v>1</v>
      </c>
      <c r="H233">
        <f t="shared" ca="1" si="27"/>
        <v>68624</v>
      </c>
    </row>
    <row r="234" spans="1:8" x14ac:dyDescent="0.3">
      <c r="A234" s="1">
        <v>45890</v>
      </c>
      <c r="B234" t="str">
        <f t="shared" si="21"/>
        <v>ORD233</v>
      </c>
      <c r="C234" t="str">
        <f t="shared" ca="1" si="22"/>
        <v>Furniture</v>
      </c>
      <c r="D234" t="str">
        <f t="shared" ca="1" si="23"/>
        <v>Bookshelf</v>
      </c>
      <c r="E234" t="str">
        <f t="shared" ca="1" si="24"/>
        <v>North</v>
      </c>
      <c r="F234">
        <f t="shared" ca="1" si="25"/>
        <v>29270</v>
      </c>
      <c r="G234">
        <f t="shared" ca="1" si="26"/>
        <v>23</v>
      </c>
      <c r="H234">
        <f t="shared" ca="1" si="27"/>
        <v>673210</v>
      </c>
    </row>
    <row r="235" spans="1:8" x14ac:dyDescent="0.3">
      <c r="A235" s="1">
        <v>45891</v>
      </c>
      <c r="B235" t="str">
        <f t="shared" si="21"/>
        <v>ORD234</v>
      </c>
      <c r="C235" t="str">
        <f t="shared" ca="1" si="22"/>
        <v>Clothing</v>
      </c>
      <c r="D235" t="str">
        <f t="shared" ca="1" si="23"/>
        <v>Jeans</v>
      </c>
      <c r="E235" t="str">
        <f t="shared" ca="1" si="24"/>
        <v>North</v>
      </c>
      <c r="F235">
        <f t="shared" ca="1" si="25"/>
        <v>14106</v>
      </c>
      <c r="G235">
        <f t="shared" ca="1" si="26"/>
        <v>4</v>
      </c>
      <c r="H235">
        <f t="shared" ca="1" si="27"/>
        <v>56424</v>
      </c>
    </row>
    <row r="236" spans="1:8" x14ac:dyDescent="0.3">
      <c r="A236" s="1">
        <v>45892</v>
      </c>
      <c r="B236" t="str">
        <f t="shared" si="21"/>
        <v>ORD235</v>
      </c>
      <c r="C236" t="str">
        <f t="shared" ca="1" si="22"/>
        <v>Sports Equipment</v>
      </c>
      <c r="D236" t="str">
        <f t="shared" ca="1" si="23"/>
        <v>Football</v>
      </c>
      <c r="E236" t="str">
        <f t="shared" ca="1" si="24"/>
        <v>East</v>
      </c>
      <c r="F236">
        <f t="shared" ca="1" si="25"/>
        <v>11976</v>
      </c>
      <c r="G236">
        <f t="shared" ca="1" si="26"/>
        <v>25</v>
      </c>
      <c r="H236">
        <f t="shared" ca="1" si="27"/>
        <v>299400</v>
      </c>
    </row>
    <row r="237" spans="1:8" x14ac:dyDescent="0.3">
      <c r="A237" s="1">
        <v>45893</v>
      </c>
      <c r="B237" t="str">
        <f t="shared" si="21"/>
        <v>ORD236</v>
      </c>
      <c r="C237" t="str">
        <f t="shared" ca="1" si="22"/>
        <v>Furniture</v>
      </c>
      <c r="D237" t="str">
        <f t="shared" ca="1" si="23"/>
        <v>Desk</v>
      </c>
      <c r="E237" t="str">
        <f t="shared" ca="1" si="24"/>
        <v>East</v>
      </c>
      <c r="F237">
        <f t="shared" ca="1" si="25"/>
        <v>22153</v>
      </c>
      <c r="G237">
        <f t="shared" ca="1" si="26"/>
        <v>3</v>
      </c>
      <c r="H237">
        <f t="shared" ca="1" si="27"/>
        <v>66459</v>
      </c>
    </row>
    <row r="238" spans="1:8" x14ac:dyDescent="0.3">
      <c r="A238" s="1">
        <v>45894</v>
      </c>
      <c r="B238" t="str">
        <f t="shared" si="21"/>
        <v>ORD237</v>
      </c>
      <c r="C238" t="str">
        <f t="shared" ca="1" si="22"/>
        <v>Food &amp; Beverages</v>
      </c>
      <c r="D238" t="str">
        <f t="shared" ca="1" si="23"/>
        <v>Coffee Pack</v>
      </c>
      <c r="E238" t="str">
        <f t="shared" ca="1" si="24"/>
        <v>West</v>
      </c>
      <c r="F238">
        <f t="shared" ca="1" si="25"/>
        <v>8079</v>
      </c>
      <c r="G238">
        <f t="shared" ca="1" si="26"/>
        <v>4</v>
      </c>
      <c r="H238">
        <f t="shared" ca="1" si="27"/>
        <v>32316</v>
      </c>
    </row>
    <row r="239" spans="1:8" x14ac:dyDescent="0.3">
      <c r="A239" s="1">
        <v>45895</v>
      </c>
      <c r="B239" t="str">
        <f t="shared" si="21"/>
        <v>ORD238</v>
      </c>
      <c r="C239" t="str">
        <f t="shared" ca="1" si="22"/>
        <v>Stationery</v>
      </c>
      <c r="D239" t="str">
        <f t="shared" ca="1" si="23"/>
        <v>Pen</v>
      </c>
      <c r="E239" t="str">
        <f t="shared" ca="1" si="24"/>
        <v>South</v>
      </c>
      <c r="F239">
        <f t="shared" ca="1" si="25"/>
        <v>4802</v>
      </c>
      <c r="G239">
        <f t="shared" ca="1" si="26"/>
        <v>29</v>
      </c>
      <c r="H239">
        <f t="shared" ca="1" si="27"/>
        <v>139258</v>
      </c>
    </row>
    <row r="240" spans="1:8" x14ac:dyDescent="0.3">
      <c r="A240" s="1">
        <v>45896</v>
      </c>
      <c r="B240" t="str">
        <f t="shared" si="21"/>
        <v>ORD239</v>
      </c>
      <c r="C240" t="str">
        <f t="shared" ca="1" si="22"/>
        <v>Electronics</v>
      </c>
      <c r="D240" t="str">
        <f t="shared" ca="1" si="23"/>
        <v>Tablet</v>
      </c>
      <c r="E240" t="str">
        <f t="shared" ca="1" si="24"/>
        <v>North</v>
      </c>
      <c r="F240">
        <f t="shared" ca="1" si="25"/>
        <v>32014</v>
      </c>
      <c r="G240">
        <f t="shared" ca="1" si="26"/>
        <v>20</v>
      </c>
      <c r="H240">
        <f t="shared" ca="1" si="27"/>
        <v>640280</v>
      </c>
    </row>
    <row r="241" spans="1:8" x14ac:dyDescent="0.3">
      <c r="A241" s="1">
        <v>45897</v>
      </c>
      <c r="B241" t="str">
        <f t="shared" si="21"/>
        <v>ORD240</v>
      </c>
      <c r="C241" t="str">
        <f t="shared" ca="1" si="22"/>
        <v>Furniture</v>
      </c>
      <c r="D241" t="str">
        <f t="shared" ca="1" si="23"/>
        <v>Chair</v>
      </c>
      <c r="E241" t="str">
        <f t="shared" ca="1" si="24"/>
        <v>South</v>
      </c>
      <c r="F241">
        <f t="shared" ca="1" si="25"/>
        <v>26640</v>
      </c>
      <c r="G241">
        <f t="shared" ca="1" si="26"/>
        <v>19</v>
      </c>
      <c r="H241">
        <f t="shared" ca="1" si="27"/>
        <v>506160</v>
      </c>
    </row>
    <row r="242" spans="1:8" x14ac:dyDescent="0.3">
      <c r="A242" s="1">
        <v>45898</v>
      </c>
      <c r="B242" t="str">
        <f t="shared" si="21"/>
        <v>ORD241</v>
      </c>
      <c r="C242" t="str">
        <f t="shared" ca="1" si="22"/>
        <v>Sports Equipment</v>
      </c>
      <c r="D242" t="str">
        <f t="shared" ca="1" si="23"/>
        <v>Bicycle</v>
      </c>
      <c r="E242" t="str">
        <f t="shared" ca="1" si="24"/>
        <v>North</v>
      </c>
      <c r="F242">
        <f t="shared" ca="1" si="25"/>
        <v>5790</v>
      </c>
      <c r="G242">
        <f t="shared" ca="1" si="26"/>
        <v>2</v>
      </c>
      <c r="H242">
        <f t="shared" ca="1" si="27"/>
        <v>11580</v>
      </c>
    </row>
    <row r="243" spans="1:8" x14ac:dyDescent="0.3">
      <c r="A243" s="1">
        <v>45899</v>
      </c>
      <c r="B243" t="str">
        <f t="shared" si="21"/>
        <v>ORD242</v>
      </c>
      <c r="C243" t="str">
        <f t="shared" ca="1" si="22"/>
        <v>Sports Equipment</v>
      </c>
      <c r="D243" t="str">
        <f t="shared" ca="1" si="23"/>
        <v>Bicycle</v>
      </c>
      <c r="E243" t="str">
        <f t="shared" ca="1" si="24"/>
        <v>North</v>
      </c>
      <c r="F243">
        <f t="shared" ca="1" si="25"/>
        <v>15741</v>
      </c>
      <c r="G243">
        <f t="shared" ca="1" si="26"/>
        <v>18</v>
      </c>
      <c r="H243">
        <f t="shared" ca="1" si="27"/>
        <v>283338</v>
      </c>
    </row>
    <row r="244" spans="1:8" x14ac:dyDescent="0.3">
      <c r="A244" s="1">
        <v>45900</v>
      </c>
      <c r="B244" t="str">
        <f t="shared" si="21"/>
        <v>ORD243</v>
      </c>
      <c r="C244" t="str">
        <f t="shared" ca="1" si="22"/>
        <v>Food &amp; Beverages</v>
      </c>
      <c r="D244" t="str">
        <f t="shared" ca="1" si="23"/>
        <v>Tea Pack</v>
      </c>
      <c r="E244" t="str">
        <f t="shared" ca="1" si="24"/>
        <v>North</v>
      </c>
      <c r="F244">
        <f t="shared" ca="1" si="25"/>
        <v>7892</v>
      </c>
      <c r="G244">
        <f t="shared" ca="1" si="26"/>
        <v>17</v>
      </c>
      <c r="H244">
        <f t="shared" ca="1" si="27"/>
        <v>134164</v>
      </c>
    </row>
    <row r="245" spans="1:8" x14ac:dyDescent="0.3">
      <c r="A245" s="1">
        <v>45901</v>
      </c>
      <c r="B245" t="str">
        <f t="shared" si="21"/>
        <v>ORD244</v>
      </c>
      <c r="C245" t="str">
        <f t="shared" ca="1" si="22"/>
        <v>Stationery</v>
      </c>
      <c r="D245" t="str">
        <f t="shared" ca="1" si="23"/>
        <v>Notebook</v>
      </c>
      <c r="E245" t="str">
        <f t="shared" ca="1" si="24"/>
        <v>West</v>
      </c>
      <c r="F245">
        <f t="shared" ca="1" si="25"/>
        <v>1102</v>
      </c>
      <c r="G245">
        <f t="shared" ca="1" si="26"/>
        <v>19</v>
      </c>
      <c r="H245">
        <f t="shared" ca="1" si="27"/>
        <v>20938</v>
      </c>
    </row>
    <row r="246" spans="1:8" x14ac:dyDescent="0.3">
      <c r="A246" s="1">
        <v>45902</v>
      </c>
      <c r="B246" t="str">
        <f t="shared" si="21"/>
        <v>ORD245</v>
      </c>
      <c r="C246" t="str">
        <f t="shared" ca="1" si="22"/>
        <v>Electronics</v>
      </c>
      <c r="D246" t="str">
        <f t="shared" ca="1" si="23"/>
        <v>Headphones</v>
      </c>
      <c r="E246" t="str">
        <f t="shared" ca="1" si="24"/>
        <v>South</v>
      </c>
      <c r="F246">
        <f t="shared" ca="1" si="25"/>
        <v>75071</v>
      </c>
      <c r="G246">
        <f t="shared" ca="1" si="26"/>
        <v>27</v>
      </c>
      <c r="H246">
        <f t="shared" ca="1" si="27"/>
        <v>2026917</v>
      </c>
    </row>
    <row r="247" spans="1:8" x14ac:dyDescent="0.3">
      <c r="A247" s="1">
        <v>45903</v>
      </c>
      <c r="B247" t="str">
        <f t="shared" si="21"/>
        <v>ORD246</v>
      </c>
      <c r="C247" t="str">
        <f t="shared" ca="1" si="22"/>
        <v>Electronics</v>
      </c>
      <c r="D247" t="str">
        <f t="shared" ca="1" si="23"/>
        <v>Smartphone</v>
      </c>
      <c r="E247" t="str">
        <f t="shared" ca="1" si="24"/>
        <v>West</v>
      </c>
      <c r="F247">
        <f t="shared" ca="1" si="25"/>
        <v>22416</v>
      </c>
      <c r="G247">
        <f t="shared" ca="1" si="26"/>
        <v>18</v>
      </c>
      <c r="H247">
        <f t="shared" ca="1" si="27"/>
        <v>403488</v>
      </c>
    </row>
    <row r="248" spans="1:8" x14ac:dyDescent="0.3">
      <c r="A248" s="1">
        <v>45904</v>
      </c>
      <c r="B248" t="str">
        <f t="shared" si="21"/>
        <v>ORD247</v>
      </c>
      <c r="C248" t="str">
        <f t="shared" ca="1" si="22"/>
        <v>Stationery</v>
      </c>
      <c r="D248" t="str">
        <f t="shared" ca="1" si="23"/>
        <v>Notebook</v>
      </c>
      <c r="E248" t="str">
        <f t="shared" ca="1" si="24"/>
        <v>South</v>
      </c>
      <c r="F248">
        <f t="shared" ca="1" si="25"/>
        <v>3649</v>
      </c>
      <c r="G248">
        <f t="shared" ca="1" si="26"/>
        <v>22</v>
      </c>
      <c r="H248">
        <f t="shared" ca="1" si="27"/>
        <v>80278</v>
      </c>
    </row>
    <row r="249" spans="1:8" x14ac:dyDescent="0.3">
      <c r="A249" s="1">
        <v>45905</v>
      </c>
      <c r="B249" t="str">
        <f t="shared" si="21"/>
        <v>ORD248</v>
      </c>
      <c r="C249" t="str">
        <f t="shared" ca="1" si="22"/>
        <v>Stationery</v>
      </c>
      <c r="D249" t="str">
        <f t="shared" ca="1" si="23"/>
        <v>Pen</v>
      </c>
      <c r="E249" t="str">
        <f t="shared" ca="1" si="24"/>
        <v>West</v>
      </c>
      <c r="F249">
        <f t="shared" ca="1" si="25"/>
        <v>340</v>
      </c>
      <c r="G249">
        <f t="shared" ca="1" si="26"/>
        <v>7</v>
      </c>
      <c r="H249">
        <f t="shared" ca="1" si="27"/>
        <v>2380</v>
      </c>
    </row>
    <row r="250" spans="1:8" x14ac:dyDescent="0.3">
      <c r="A250" s="1">
        <v>45906</v>
      </c>
      <c r="B250" t="str">
        <f t="shared" si="21"/>
        <v>ORD249</v>
      </c>
      <c r="C250" t="str">
        <f t="shared" ca="1" si="22"/>
        <v>Furniture</v>
      </c>
      <c r="D250" t="str">
        <f t="shared" ca="1" si="23"/>
        <v>Desk</v>
      </c>
      <c r="E250" t="str">
        <f t="shared" ca="1" si="24"/>
        <v>North</v>
      </c>
      <c r="F250">
        <f t="shared" ca="1" si="25"/>
        <v>12788</v>
      </c>
      <c r="G250">
        <f t="shared" ca="1" si="26"/>
        <v>18</v>
      </c>
      <c r="H250">
        <f t="shared" ca="1" si="27"/>
        <v>230184</v>
      </c>
    </row>
    <row r="251" spans="1:8" x14ac:dyDescent="0.3">
      <c r="A251" s="1">
        <v>45907</v>
      </c>
      <c r="B251" t="str">
        <f t="shared" si="21"/>
        <v>ORD250</v>
      </c>
      <c r="C251" t="str">
        <f t="shared" ca="1" si="22"/>
        <v>Clothing</v>
      </c>
      <c r="D251" t="str">
        <f t="shared" ca="1" si="23"/>
        <v>Jeans</v>
      </c>
      <c r="E251" t="str">
        <f t="shared" ca="1" si="24"/>
        <v>South</v>
      </c>
      <c r="F251">
        <f t="shared" ca="1" si="25"/>
        <v>8438</v>
      </c>
      <c r="G251">
        <f t="shared" ca="1" si="26"/>
        <v>22</v>
      </c>
      <c r="H251">
        <f t="shared" ca="1" si="27"/>
        <v>185636</v>
      </c>
    </row>
    <row r="252" spans="1:8" x14ac:dyDescent="0.3">
      <c r="A252" s="1">
        <v>45908</v>
      </c>
      <c r="B252" t="str">
        <f t="shared" si="21"/>
        <v>ORD251</v>
      </c>
      <c r="C252" t="str">
        <f t="shared" ca="1" si="22"/>
        <v>Food &amp; Beverages</v>
      </c>
      <c r="D252" t="str">
        <f t="shared" ca="1" si="23"/>
        <v>Tea Pack</v>
      </c>
      <c r="E252" t="str">
        <f t="shared" ca="1" si="24"/>
        <v>South</v>
      </c>
      <c r="F252">
        <f t="shared" ca="1" si="25"/>
        <v>3961</v>
      </c>
      <c r="G252">
        <f t="shared" ca="1" si="26"/>
        <v>30</v>
      </c>
      <c r="H252">
        <f t="shared" ca="1" si="27"/>
        <v>118830</v>
      </c>
    </row>
    <row r="253" spans="1:8" x14ac:dyDescent="0.3">
      <c r="A253" s="1">
        <v>45909</v>
      </c>
      <c r="B253" t="str">
        <f t="shared" si="21"/>
        <v>ORD252</v>
      </c>
      <c r="C253" t="str">
        <f t="shared" ca="1" si="22"/>
        <v>Furniture</v>
      </c>
      <c r="D253" t="str">
        <f t="shared" ca="1" si="23"/>
        <v>Sofa</v>
      </c>
      <c r="E253" t="str">
        <f t="shared" ca="1" si="24"/>
        <v>West</v>
      </c>
      <c r="F253">
        <f t="shared" ca="1" si="25"/>
        <v>5444</v>
      </c>
      <c r="G253">
        <f t="shared" ca="1" si="26"/>
        <v>2</v>
      </c>
      <c r="H253">
        <f t="shared" ca="1" si="27"/>
        <v>10888</v>
      </c>
    </row>
    <row r="254" spans="1:8" x14ac:dyDescent="0.3">
      <c r="A254" s="1">
        <v>45910</v>
      </c>
      <c r="B254" t="str">
        <f t="shared" si="21"/>
        <v>ORD253</v>
      </c>
      <c r="C254" t="str">
        <f t="shared" ca="1" si="22"/>
        <v>Furniture</v>
      </c>
      <c r="D254" t="str">
        <f t="shared" ca="1" si="23"/>
        <v>Sofa</v>
      </c>
      <c r="E254" t="str">
        <f t="shared" ca="1" si="24"/>
        <v>North</v>
      </c>
      <c r="F254">
        <f t="shared" ca="1" si="25"/>
        <v>25888</v>
      </c>
      <c r="G254">
        <f t="shared" ca="1" si="26"/>
        <v>6</v>
      </c>
      <c r="H254">
        <f t="shared" ca="1" si="27"/>
        <v>155328</v>
      </c>
    </row>
    <row r="255" spans="1:8" x14ac:dyDescent="0.3">
      <c r="A255" s="1">
        <v>45911</v>
      </c>
      <c r="B255" t="str">
        <f t="shared" si="21"/>
        <v>ORD254</v>
      </c>
      <c r="C255" t="str">
        <f t="shared" ca="1" si="22"/>
        <v>Food &amp; Beverages</v>
      </c>
      <c r="D255" t="str">
        <f t="shared" ca="1" si="23"/>
        <v>Coffee Pack</v>
      </c>
      <c r="E255" t="str">
        <f t="shared" ca="1" si="24"/>
        <v>South</v>
      </c>
      <c r="F255">
        <f t="shared" ca="1" si="25"/>
        <v>4013</v>
      </c>
      <c r="G255">
        <f t="shared" ca="1" si="26"/>
        <v>25</v>
      </c>
      <c r="H255">
        <f t="shared" ca="1" si="27"/>
        <v>100325</v>
      </c>
    </row>
    <row r="256" spans="1:8" x14ac:dyDescent="0.3">
      <c r="A256" s="1">
        <v>45912</v>
      </c>
      <c r="B256" t="str">
        <f t="shared" si="21"/>
        <v>ORD255</v>
      </c>
      <c r="C256" t="str">
        <f t="shared" ca="1" si="22"/>
        <v>Electronics</v>
      </c>
      <c r="D256" t="str">
        <f t="shared" ca="1" si="23"/>
        <v>Tablet</v>
      </c>
      <c r="E256" t="str">
        <f t="shared" ca="1" si="24"/>
        <v>South</v>
      </c>
      <c r="F256">
        <f t="shared" ca="1" si="25"/>
        <v>65213</v>
      </c>
      <c r="G256">
        <f t="shared" ca="1" si="26"/>
        <v>2</v>
      </c>
      <c r="H256">
        <f t="shared" ca="1" si="27"/>
        <v>130426</v>
      </c>
    </row>
    <row r="257" spans="1:8" x14ac:dyDescent="0.3">
      <c r="A257" s="1">
        <v>45913</v>
      </c>
      <c r="B257" t="str">
        <f t="shared" si="21"/>
        <v>ORD256</v>
      </c>
      <c r="C257" t="str">
        <f t="shared" ca="1" si="22"/>
        <v>Electronics</v>
      </c>
      <c r="D257" t="str">
        <f t="shared" ca="1" si="23"/>
        <v>Tablet</v>
      </c>
      <c r="E257" t="str">
        <f t="shared" ca="1" si="24"/>
        <v>South</v>
      </c>
      <c r="F257">
        <f t="shared" ca="1" si="25"/>
        <v>36954</v>
      </c>
      <c r="G257">
        <f t="shared" ca="1" si="26"/>
        <v>16</v>
      </c>
      <c r="H257">
        <f t="shared" ca="1" si="27"/>
        <v>591264</v>
      </c>
    </row>
    <row r="258" spans="1:8" x14ac:dyDescent="0.3">
      <c r="A258" s="1">
        <v>45914</v>
      </c>
      <c r="B258" t="str">
        <f t="shared" si="21"/>
        <v>ORD257</v>
      </c>
      <c r="C258" t="str">
        <f t="shared" ca="1" si="22"/>
        <v>Sports Equipment</v>
      </c>
      <c r="D258" t="str">
        <f t="shared" ca="1" si="23"/>
        <v>Bicycle</v>
      </c>
      <c r="E258" t="str">
        <f t="shared" ca="1" si="24"/>
        <v>North</v>
      </c>
      <c r="F258">
        <f t="shared" ca="1" si="25"/>
        <v>17057</v>
      </c>
      <c r="G258">
        <f t="shared" ca="1" si="26"/>
        <v>9</v>
      </c>
      <c r="H258">
        <f t="shared" ca="1" si="27"/>
        <v>153513</v>
      </c>
    </row>
    <row r="259" spans="1:8" x14ac:dyDescent="0.3">
      <c r="A259" s="1">
        <v>45915</v>
      </c>
      <c r="B259" t="str">
        <f t="shared" ref="B259:B322" si="28">"ORD"&amp;TEXT(ROW(A259)-1,"000")</f>
        <v>ORD258</v>
      </c>
      <c r="C259" t="str">
        <f t="shared" ref="C259:C322" ca="1" si="29">CHOOSE(RANDBETWEEN(1,6),"Electronics","Furniture","Clothing","Food &amp; Beverages","Sports Equipment","Stationery")</f>
        <v>Stationery</v>
      </c>
      <c r="D259" t="str">
        <f t="shared" ref="D259:D322" ca="1" si="30">IF(C259="Electronics", CHOOSE(RANDBETWEEN(1,5),"Laptop","Smartphone","Tablet","Headphones","Smartwatch"),
 IF(C259="Furniture", CHOOSE(RANDBETWEEN(1,5),"Chair","Desk","Sofa","Bed","Bookshelf"),
 IF(C259="Clothing", CHOOSE(RANDBETWEEN(1,5),"Jacket","T-Shirt","Jeans","Dress","Shoes"),
 IF(C259="Food &amp; Beverages", CHOOSE(RANDBETWEEN(1,5),"Coffee Pack","Juice Bottle","Snack Box","Rice Bag","Tea Pack"),
 IF(C259="Sports Equipment", CHOOSE(RANDBETWEEN(1,5),"Football","Tennis Racket","Yoga Mat","Dumbbells","Bicycle"),
 IF(C259="Stationery", CHOOSE(RANDBETWEEN(1,5),"Notebook","Pen","Marker","Stapler","File Folder")))))))</f>
        <v>Stapler</v>
      </c>
      <c r="E259" t="str">
        <f t="shared" ref="E259:E322" ca="1" si="31">CHOOSE(RANDBETWEEN(1,4),"North","South","East","West")</f>
        <v>West</v>
      </c>
      <c r="F259">
        <f t="shared" ref="F259:F322" ca="1" si="32">IF(C259="Electronics",RANDBETWEEN(20000,80000),
 IF(C259="Furniture",RANDBETWEEN(5000,30000),
 IF(C259="Clothing",RANDBETWEEN(1000,15000),
 IF(C259="Food &amp; Beverages",RANDBETWEEN(500,10000),
 IF(C259="Sports Equipment",RANDBETWEEN(2000,25000),
 IF(C259="Stationery",RANDBETWEEN(100,5000)))))))</f>
        <v>3535</v>
      </c>
      <c r="G259">
        <f t="shared" ref="G259:G322" ca="1" si="33">RANDBETWEEN(1,30)</f>
        <v>27</v>
      </c>
      <c r="H259">
        <f t="shared" ref="H259:H322" ca="1" si="34">F259 * G259</f>
        <v>95445</v>
      </c>
    </row>
    <row r="260" spans="1:8" x14ac:dyDescent="0.3">
      <c r="A260" s="1">
        <v>45916</v>
      </c>
      <c r="B260" t="str">
        <f t="shared" si="28"/>
        <v>ORD259</v>
      </c>
      <c r="C260" t="str">
        <f t="shared" ca="1" si="29"/>
        <v>Furniture</v>
      </c>
      <c r="D260" t="str">
        <f t="shared" ca="1" si="30"/>
        <v>Bed</v>
      </c>
      <c r="E260" t="str">
        <f t="shared" ca="1" si="31"/>
        <v>West</v>
      </c>
      <c r="F260">
        <f t="shared" ca="1" si="32"/>
        <v>18725</v>
      </c>
      <c r="G260">
        <f t="shared" ca="1" si="33"/>
        <v>5</v>
      </c>
      <c r="H260">
        <f t="shared" ca="1" si="34"/>
        <v>93625</v>
      </c>
    </row>
    <row r="261" spans="1:8" x14ac:dyDescent="0.3">
      <c r="A261" s="1">
        <v>45917</v>
      </c>
      <c r="B261" t="str">
        <f t="shared" si="28"/>
        <v>ORD260</v>
      </c>
      <c r="C261" t="str">
        <f t="shared" ca="1" si="29"/>
        <v>Sports Equipment</v>
      </c>
      <c r="D261" t="str">
        <f t="shared" ca="1" si="30"/>
        <v>Yoga Mat</v>
      </c>
      <c r="E261" t="str">
        <f t="shared" ca="1" si="31"/>
        <v>South</v>
      </c>
      <c r="F261">
        <f t="shared" ca="1" si="32"/>
        <v>9681</v>
      </c>
      <c r="G261">
        <f t="shared" ca="1" si="33"/>
        <v>14</v>
      </c>
      <c r="H261">
        <f t="shared" ca="1" si="34"/>
        <v>135534</v>
      </c>
    </row>
    <row r="262" spans="1:8" x14ac:dyDescent="0.3">
      <c r="A262" s="1">
        <v>45918</v>
      </c>
      <c r="B262" t="str">
        <f t="shared" si="28"/>
        <v>ORD261</v>
      </c>
      <c r="C262" t="str">
        <f t="shared" ca="1" si="29"/>
        <v>Furniture</v>
      </c>
      <c r="D262" t="str">
        <f t="shared" ca="1" si="30"/>
        <v>Sofa</v>
      </c>
      <c r="E262" t="str">
        <f t="shared" ca="1" si="31"/>
        <v>West</v>
      </c>
      <c r="F262">
        <f t="shared" ca="1" si="32"/>
        <v>10427</v>
      </c>
      <c r="G262">
        <f t="shared" ca="1" si="33"/>
        <v>14</v>
      </c>
      <c r="H262">
        <f t="shared" ca="1" si="34"/>
        <v>145978</v>
      </c>
    </row>
    <row r="263" spans="1:8" x14ac:dyDescent="0.3">
      <c r="A263" s="1">
        <v>45919</v>
      </c>
      <c r="B263" t="str">
        <f t="shared" si="28"/>
        <v>ORD262</v>
      </c>
      <c r="C263" t="str">
        <f t="shared" ca="1" si="29"/>
        <v>Electronics</v>
      </c>
      <c r="D263" t="str">
        <f t="shared" ca="1" si="30"/>
        <v>Headphones</v>
      </c>
      <c r="E263" t="str">
        <f t="shared" ca="1" si="31"/>
        <v>East</v>
      </c>
      <c r="F263">
        <f t="shared" ca="1" si="32"/>
        <v>27841</v>
      </c>
      <c r="G263">
        <f t="shared" ca="1" si="33"/>
        <v>12</v>
      </c>
      <c r="H263">
        <f t="shared" ca="1" si="34"/>
        <v>334092</v>
      </c>
    </row>
    <row r="264" spans="1:8" x14ac:dyDescent="0.3">
      <c r="A264" s="1">
        <v>45920</v>
      </c>
      <c r="B264" t="str">
        <f t="shared" si="28"/>
        <v>ORD263</v>
      </c>
      <c r="C264" t="str">
        <f t="shared" ca="1" si="29"/>
        <v>Furniture</v>
      </c>
      <c r="D264" t="str">
        <f t="shared" ca="1" si="30"/>
        <v>Bookshelf</v>
      </c>
      <c r="E264" t="str">
        <f t="shared" ca="1" si="31"/>
        <v>North</v>
      </c>
      <c r="F264">
        <f t="shared" ca="1" si="32"/>
        <v>12583</v>
      </c>
      <c r="G264">
        <f t="shared" ca="1" si="33"/>
        <v>19</v>
      </c>
      <c r="H264">
        <f t="shared" ca="1" si="34"/>
        <v>239077</v>
      </c>
    </row>
    <row r="265" spans="1:8" x14ac:dyDescent="0.3">
      <c r="A265" s="1">
        <v>45921</v>
      </c>
      <c r="B265" t="str">
        <f t="shared" si="28"/>
        <v>ORD264</v>
      </c>
      <c r="C265" t="str">
        <f t="shared" ca="1" si="29"/>
        <v>Sports Equipment</v>
      </c>
      <c r="D265" t="str">
        <f t="shared" ca="1" si="30"/>
        <v>Dumbbells</v>
      </c>
      <c r="E265" t="str">
        <f t="shared" ca="1" si="31"/>
        <v>South</v>
      </c>
      <c r="F265">
        <f t="shared" ca="1" si="32"/>
        <v>18886</v>
      </c>
      <c r="G265">
        <f t="shared" ca="1" si="33"/>
        <v>12</v>
      </c>
      <c r="H265">
        <f t="shared" ca="1" si="34"/>
        <v>226632</v>
      </c>
    </row>
    <row r="266" spans="1:8" x14ac:dyDescent="0.3">
      <c r="A266" s="1">
        <v>45922</v>
      </c>
      <c r="B266" t="str">
        <f t="shared" si="28"/>
        <v>ORD265</v>
      </c>
      <c r="C266" t="str">
        <f t="shared" ca="1" si="29"/>
        <v>Clothing</v>
      </c>
      <c r="D266" t="str">
        <f t="shared" ca="1" si="30"/>
        <v>T-Shirt</v>
      </c>
      <c r="E266" t="str">
        <f t="shared" ca="1" si="31"/>
        <v>West</v>
      </c>
      <c r="F266">
        <f t="shared" ca="1" si="32"/>
        <v>10696</v>
      </c>
      <c r="G266">
        <f t="shared" ca="1" si="33"/>
        <v>18</v>
      </c>
      <c r="H266">
        <f t="shared" ca="1" si="34"/>
        <v>192528</v>
      </c>
    </row>
    <row r="267" spans="1:8" x14ac:dyDescent="0.3">
      <c r="A267" s="1">
        <v>45923</v>
      </c>
      <c r="B267" t="str">
        <f t="shared" si="28"/>
        <v>ORD266</v>
      </c>
      <c r="C267" t="str">
        <f t="shared" ca="1" si="29"/>
        <v>Sports Equipment</v>
      </c>
      <c r="D267" t="str">
        <f t="shared" ca="1" si="30"/>
        <v>Bicycle</v>
      </c>
      <c r="E267" t="str">
        <f t="shared" ca="1" si="31"/>
        <v>North</v>
      </c>
      <c r="F267">
        <f t="shared" ca="1" si="32"/>
        <v>14547</v>
      </c>
      <c r="G267">
        <f t="shared" ca="1" si="33"/>
        <v>27</v>
      </c>
      <c r="H267">
        <f t="shared" ca="1" si="34"/>
        <v>392769</v>
      </c>
    </row>
    <row r="268" spans="1:8" x14ac:dyDescent="0.3">
      <c r="A268" s="1">
        <v>45924</v>
      </c>
      <c r="B268" t="str">
        <f t="shared" si="28"/>
        <v>ORD267</v>
      </c>
      <c r="C268" t="str">
        <f t="shared" ca="1" si="29"/>
        <v>Food &amp; Beverages</v>
      </c>
      <c r="D268" t="str">
        <f t="shared" ca="1" si="30"/>
        <v>Juice Bottle</v>
      </c>
      <c r="E268" t="str">
        <f t="shared" ca="1" si="31"/>
        <v>North</v>
      </c>
      <c r="F268">
        <f t="shared" ca="1" si="32"/>
        <v>7618</v>
      </c>
      <c r="G268">
        <f t="shared" ca="1" si="33"/>
        <v>14</v>
      </c>
      <c r="H268">
        <f t="shared" ca="1" si="34"/>
        <v>106652</v>
      </c>
    </row>
    <row r="269" spans="1:8" x14ac:dyDescent="0.3">
      <c r="A269" s="1">
        <v>45925</v>
      </c>
      <c r="B269" t="str">
        <f t="shared" si="28"/>
        <v>ORD268</v>
      </c>
      <c r="C269" t="str">
        <f t="shared" ca="1" si="29"/>
        <v>Furniture</v>
      </c>
      <c r="D269" t="str">
        <f t="shared" ca="1" si="30"/>
        <v>Bed</v>
      </c>
      <c r="E269" t="str">
        <f t="shared" ca="1" si="31"/>
        <v>East</v>
      </c>
      <c r="F269">
        <f t="shared" ca="1" si="32"/>
        <v>9489</v>
      </c>
      <c r="G269">
        <f t="shared" ca="1" si="33"/>
        <v>2</v>
      </c>
      <c r="H269">
        <f t="shared" ca="1" si="34"/>
        <v>18978</v>
      </c>
    </row>
    <row r="270" spans="1:8" x14ac:dyDescent="0.3">
      <c r="A270" s="1">
        <v>45926</v>
      </c>
      <c r="B270" t="str">
        <f t="shared" si="28"/>
        <v>ORD269</v>
      </c>
      <c r="C270" t="str">
        <f t="shared" ca="1" si="29"/>
        <v>Food &amp; Beverages</v>
      </c>
      <c r="D270" t="str">
        <f t="shared" ca="1" si="30"/>
        <v>Snack Box</v>
      </c>
      <c r="E270" t="str">
        <f t="shared" ca="1" si="31"/>
        <v>South</v>
      </c>
      <c r="F270">
        <f t="shared" ca="1" si="32"/>
        <v>9632</v>
      </c>
      <c r="G270">
        <f t="shared" ca="1" si="33"/>
        <v>8</v>
      </c>
      <c r="H270">
        <f t="shared" ca="1" si="34"/>
        <v>77056</v>
      </c>
    </row>
    <row r="271" spans="1:8" x14ac:dyDescent="0.3">
      <c r="A271" s="1">
        <v>45927</v>
      </c>
      <c r="B271" t="str">
        <f t="shared" si="28"/>
        <v>ORD270</v>
      </c>
      <c r="C271" t="str">
        <f t="shared" ca="1" si="29"/>
        <v>Clothing</v>
      </c>
      <c r="D271" t="str">
        <f t="shared" ca="1" si="30"/>
        <v>Jacket</v>
      </c>
      <c r="E271" t="str">
        <f t="shared" ca="1" si="31"/>
        <v>East</v>
      </c>
      <c r="F271">
        <f t="shared" ca="1" si="32"/>
        <v>13135</v>
      </c>
      <c r="G271">
        <f t="shared" ca="1" si="33"/>
        <v>30</v>
      </c>
      <c r="H271">
        <f t="shared" ca="1" si="34"/>
        <v>394050</v>
      </c>
    </row>
    <row r="272" spans="1:8" x14ac:dyDescent="0.3">
      <c r="A272" s="1">
        <v>45928</v>
      </c>
      <c r="B272" t="str">
        <f t="shared" si="28"/>
        <v>ORD271</v>
      </c>
      <c r="C272" t="str">
        <f t="shared" ca="1" si="29"/>
        <v>Furniture</v>
      </c>
      <c r="D272" t="str">
        <f t="shared" ca="1" si="30"/>
        <v>Bookshelf</v>
      </c>
      <c r="E272" t="str">
        <f t="shared" ca="1" si="31"/>
        <v>West</v>
      </c>
      <c r="F272">
        <f t="shared" ca="1" si="32"/>
        <v>8137</v>
      </c>
      <c r="G272">
        <f t="shared" ca="1" si="33"/>
        <v>27</v>
      </c>
      <c r="H272">
        <f t="shared" ca="1" si="34"/>
        <v>219699</v>
      </c>
    </row>
    <row r="273" spans="1:8" x14ac:dyDescent="0.3">
      <c r="A273" s="1">
        <v>45929</v>
      </c>
      <c r="B273" t="str">
        <f t="shared" si="28"/>
        <v>ORD272</v>
      </c>
      <c r="C273" t="str">
        <f t="shared" ca="1" si="29"/>
        <v>Clothing</v>
      </c>
      <c r="D273" t="str">
        <f t="shared" ca="1" si="30"/>
        <v>Jeans</v>
      </c>
      <c r="E273" t="str">
        <f t="shared" ca="1" si="31"/>
        <v>North</v>
      </c>
      <c r="F273">
        <f t="shared" ca="1" si="32"/>
        <v>5689</v>
      </c>
      <c r="G273">
        <f t="shared" ca="1" si="33"/>
        <v>8</v>
      </c>
      <c r="H273">
        <f t="shared" ca="1" si="34"/>
        <v>45512</v>
      </c>
    </row>
    <row r="274" spans="1:8" x14ac:dyDescent="0.3">
      <c r="A274" s="1">
        <v>45930</v>
      </c>
      <c r="B274" t="str">
        <f t="shared" si="28"/>
        <v>ORD273</v>
      </c>
      <c r="C274" t="str">
        <f t="shared" ca="1" si="29"/>
        <v>Furniture</v>
      </c>
      <c r="D274" t="str">
        <f t="shared" ca="1" si="30"/>
        <v>Bookshelf</v>
      </c>
      <c r="E274" t="str">
        <f t="shared" ca="1" si="31"/>
        <v>South</v>
      </c>
      <c r="F274">
        <f t="shared" ca="1" si="32"/>
        <v>19540</v>
      </c>
      <c r="G274">
        <f t="shared" ca="1" si="33"/>
        <v>22</v>
      </c>
      <c r="H274">
        <f t="shared" ca="1" si="34"/>
        <v>429880</v>
      </c>
    </row>
    <row r="275" spans="1:8" x14ac:dyDescent="0.3">
      <c r="A275" s="1">
        <v>45931</v>
      </c>
      <c r="B275" t="str">
        <f t="shared" si="28"/>
        <v>ORD274</v>
      </c>
      <c r="C275" t="str">
        <f t="shared" ca="1" si="29"/>
        <v>Food &amp; Beverages</v>
      </c>
      <c r="D275" t="str">
        <f t="shared" ca="1" si="30"/>
        <v>Juice Bottle</v>
      </c>
      <c r="E275" t="str">
        <f t="shared" ca="1" si="31"/>
        <v>South</v>
      </c>
      <c r="F275">
        <f t="shared" ca="1" si="32"/>
        <v>1325</v>
      </c>
      <c r="G275">
        <f t="shared" ca="1" si="33"/>
        <v>22</v>
      </c>
      <c r="H275">
        <f t="shared" ca="1" si="34"/>
        <v>29150</v>
      </c>
    </row>
    <row r="276" spans="1:8" x14ac:dyDescent="0.3">
      <c r="A276" s="1">
        <v>45932</v>
      </c>
      <c r="B276" t="str">
        <f t="shared" si="28"/>
        <v>ORD275</v>
      </c>
      <c r="C276" t="str">
        <f t="shared" ca="1" si="29"/>
        <v>Electronics</v>
      </c>
      <c r="D276" t="str">
        <f t="shared" ca="1" si="30"/>
        <v>Smartphone</v>
      </c>
      <c r="E276" t="str">
        <f t="shared" ca="1" si="31"/>
        <v>East</v>
      </c>
      <c r="F276">
        <f t="shared" ca="1" si="32"/>
        <v>30880</v>
      </c>
      <c r="G276">
        <f t="shared" ca="1" si="33"/>
        <v>10</v>
      </c>
      <c r="H276">
        <f t="shared" ca="1" si="34"/>
        <v>308800</v>
      </c>
    </row>
    <row r="277" spans="1:8" x14ac:dyDescent="0.3">
      <c r="A277" s="1">
        <v>45933</v>
      </c>
      <c r="B277" t="str">
        <f t="shared" si="28"/>
        <v>ORD276</v>
      </c>
      <c r="C277" t="str">
        <f t="shared" ca="1" si="29"/>
        <v>Clothing</v>
      </c>
      <c r="D277" t="str">
        <f t="shared" ca="1" si="30"/>
        <v>Jeans</v>
      </c>
      <c r="E277" t="str">
        <f t="shared" ca="1" si="31"/>
        <v>South</v>
      </c>
      <c r="F277">
        <f t="shared" ca="1" si="32"/>
        <v>5097</v>
      </c>
      <c r="G277">
        <f t="shared" ca="1" si="33"/>
        <v>16</v>
      </c>
      <c r="H277">
        <f t="shared" ca="1" si="34"/>
        <v>81552</v>
      </c>
    </row>
    <row r="278" spans="1:8" x14ac:dyDescent="0.3">
      <c r="A278" s="1">
        <v>45934</v>
      </c>
      <c r="B278" t="str">
        <f t="shared" si="28"/>
        <v>ORD277</v>
      </c>
      <c r="C278" t="str">
        <f t="shared" ca="1" si="29"/>
        <v>Electronics</v>
      </c>
      <c r="D278" t="str">
        <f t="shared" ca="1" si="30"/>
        <v>Tablet</v>
      </c>
      <c r="E278" t="str">
        <f t="shared" ca="1" si="31"/>
        <v>South</v>
      </c>
      <c r="F278">
        <f t="shared" ca="1" si="32"/>
        <v>71585</v>
      </c>
      <c r="G278">
        <f t="shared" ca="1" si="33"/>
        <v>11</v>
      </c>
      <c r="H278">
        <f t="shared" ca="1" si="34"/>
        <v>787435</v>
      </c>
    </row>
    <row r="279" spans="1:8" x14ac:dyDescent="0.3">
      <c r="A279" s="1">
        <v>45935</v>
      </c>
      <c r="B279" t="str">
        <f t="shared" si="28"/>
        <v>ORD278</v>
      </c>
      <c r="C279" t="str">
        <f t="shared" ca="1" si="29"/>
        <v>Furniture</v>
      </c>
      <c r="D279" t="str">
        <f t="shared" ca="1" si="30"/>
        <v>Desk</v>
      </c>
      <c r="E279" t="str">
        <f t="shared" ca="1" si="31"/>
        <v>West</v>
      </c>
      <c r="F279">
        <f t="shared" ca="1" si="32"/>
        <v>12143</v>
      </c>
      <c r="G279">
        <f t="shared" ca="1" si="33"/>
        <v>18</v>
      </c>
      <c r="H279">
        <f t="shared" ca="1" si="34"/>
        <v>218574</v>
      </c>
    </row>
    <row r="280" spans="1:8" x14ac:dyDescent="0.3">
      <c r="A280" s="1">
        <v>45936</v>
      </c>
      <c r="B280" t="str">
        <f t="shared" si="28"/>
        <v>ORD279</v>
      </c>
      <c r="C280" t="str">
        <f t="shared" ca="1" si="29"/>
        <v>Clothing</v>
      </c>
      <c r="D280" t="str">
        <f t="shared" ca="1" si="30"/>
        <v>Shoes</v>
      </c>
      <c r="E280" t="str">
        <f t="shared" ca="1" si="31"/>
        <v>East</v>
      </c>
      <c r="F280">
        <f t="shared" ca="1" si="32"/>
        <v>11142</v>
      </c>
      <c r="G280">
        <f t="shared" ca="1" si="33"/>
        <v>2</v>
      </c>
      <c r="H280">
        <f t="shared" ca="1" si="34"/>
        <v>22284</v>
      </c>
    </row>
    <row r="281" spans="1:8" x14ac:dyDescent="0.3">
      <c r="A281" s="1">
        <v>45937</v>
      </c>
      <c r="B281" t="str">
        <f t="shared" si="28"/>
        <v>ORD280</v>
      </c>
      <c r="C281" t="str">
        <f t="shared" ca="1" si="29"/>
        <v>Food &amp; Beverages</v>
      </c>
      <c r="D281" t="str">
        <f t="shared" ca="1" si="30"/>
        <v>Juice Bottle</v>
      </c>
      <c r="E281" t="str">
        <f t="shared" ca="1" si="31"/>
        <v>North</v>
      </c>
      <c r="F281">
        <f t="shared" ca="1" si="32"/>
        <v>5956</v>
      </c>
      <c r="G281">
        <f t="shared" ca="1" si="33"/>
        <v>6</v>
      </c>
      <c r="H281">
        <f t="shared" ca="1" si="34"/>
        <v>35736</v>
      </c>
    </row>
    <row r="282" spans="1:8" x14ac:dyDescent="0.3">
      <c r="A282" s="1">
        <v>45938</v>
      </c>
      <c r="B282" t="str">
        <f t="shared" si="28"/>
        <v>ORD281</v>
      </c>
      <c r="C282" t="str">
        <f t="shared" ca="1" si="29"/>
        <v>Electronics</v>
      </c>
      <c r="D282" t="str">
        <f t="shared" ca="1" si="30"/>
        <v>Smartphone</v>
      </c>
      <c r="E282" t="str">
        <f t="shared" ca="1" si="31"/>
        <v>South</v>
      </c>
      <c r="F282">
        <f t="shared" ca="1" si="32"/>
        <v>79853</v>
      </c>
      <c r="G282">
        <f t="shared" ca="1" si="33"/>
        <v>30</v>
      </c>
      <c r="H282">
        <f t="shared" ca="1" si="34"/>
        <v>2395590</v>
      </c>
    </row>
    <row r="283" spans="1:8" x14ac:dyDescent="0.3">
      <c r="A283" s="1">
        <v>45939</v>
      </c>
      <c r="B283" t="str">
        <f t="shared" si="28"/>
        <v>ORD282</v>
      </c>
      <c r="C283" t="str">
        <f t="shared" ca="1" si="29"/>
        <v>Stationery</v>
      </c>
      <c r="D283" t="str">
        <f t="shared" ca="1" si="30"/>
        <v>Notebook</v>
      </c>
      <c r="E283" t="str">
        <f t="shared" ca="1" si="31"/>
        <v>East</v>
      </c>
      <c r="F283">
        <f t="shared" ca="1" si="32"/>
        <v>454</v>
      </c>
      <c r="G283">
        <f t="shared" ca="1" si="33"/>
        <v>23</v>
      </c>
      <c r="H283">
        <f t="shared" ca="1" si="34"/>
        <v>10442</v>
      </c>
    </row>
    <row r="284" spans="1:8" x14ac:dyDescent="0.3">
      <c r="A284" s="1">
        <v>45940</v>
      </c>
      <c r="B284" t="str">
        <f t="shared" si="28"/>
        <v>ORD283</v>
      </c>
      <c r="C284" t="str">
        <f t="shared" ca="1" si="29"/>
        <v>Food &amp; Beverages</v>
      </c>
      <c r="D284" t="str">
        <f t="shared" ca="1" si="30"/>
        <v>Tea Pack</v>
      </c>
      <c r="E284" t="str">
        <f t="shared" ca="1" si="31"/>
        <v>South</v>
      </c>
      <c r="F284">
        <f t="shared" ca="1" si="32"/>
        <v>6724</v>
      </c>
      <c r="G284">
        <f t="shared" ca="1" si="33"/>
        <v>24</v>
      </c>
      <c r="H284">
        <f t="shared" ca="1" si="34"/>
        <v>161376</v>
      </c>
    </row>
    <row r="285" spans="1:8" x14ac:dyDescent="0.3">
      <c r="A285" s="1">
        <v>45941</v>
      </c>
      <c r="B285" t="str">
        <f t="shared" si="28"/>
        <v>ORD284</v>
      </c>
      <c r="C285" t="str">
        <f t="shared" ca="1" si="29"/>
        <v>Stationery</v>
      </c>
      <c r="D285" t="str">
        <f t="shared" ca="1" si="30"/>
        <v>Marker</v>
      </c>
      <c r="E285" t="str">
        <f t="shared" ca="1" si="31"/>
        <v>West</v>
      </c>
      <c r="F285">
        <f t="shared" ca="1" si="32"/>
        <v>3760</v>
      </c>
      <c r="G285">
        <f t="shared" ca="1" si="33"/>
        <v>3</v>
      </c>
      <c r="H285">
        <f t="shared" ca="1" si="34"/>
        <v>11280</v>
      </c>
    </row>
    <row r="286" spans="1:8" x14ac:dyDescent="0.3">
      <c r="A286" s="1">
        <v>45942</v>
      </c>
      <c r="B286" t="str">
        <f t="shared" si="28"/>
        <v>ORD285</v>
      </c>
      <c r="C286" t="str">
        <f t="shared" ca="1" si="29"/>
        <v>Sports Equipment</v>
      </c>
      <c r="D286" t="str">
        <f t="shared" ca="1" si="30"/>
        <v>Football</v>
      </c>
      <c r="E286" t="str">
        <f t="shared" ca="1" si="31"/>
        <v>South</v>
      </c>
      <c r="F286">
        <f t="shared" ca="1" si="32"/>
        <v>6356</v>
      </c>
      <c r="G286">
        <f t="shared" ca="1" si="33"/>
        <v>27</v>
      </c>
      <c r="H286">
        <f t="shared" ca="1" si="34"/>
        <v>171612</v>
      </c>
    </row>
    <row r="287" spans="1:8" x14ac:dyDescent="0.3">
      <c r="A287" s="1">
        <v>45943</v>
      </c>
      <c r="B287" t="str">
        <f t="shared" si="28"/>
        <v>ORD286</v>
      </c>
      <c r="C287" t="str">
        <f t="shared" ca="1" si="29"/>
        <v>Stationery</v>
      </c>
      <c r="D287" t="str">
        <f t="shared" ca="1" si="30"/>
        <v>Notebook</v>
      </c>
      <c r="E287" t="str">
        <f t="shared" ca="1" si="31"/>
        <v>South</v>
      </c>
      <c r="F287">
        <f t="shared" ca="1" si="32"/>
        <v>606</v>
      </c>
      <c r="G287">
        <f t="shared" ca="1" si="33"/>
        <v>29</v>
      </c>
      <c r="H287">
        <f t="shared" ca="1" si="34"/>
        <v>17574</v>
      </c>
    </row>
    <row r="288" spans="1:8" x14ac:dyDescent="0.3">
      <c r="A288" s="1">
        <v>45944</v>
      </c>
      <c r="B288" t="str">
        <f t="shared" si="28"/>
        <v>ORD287</v>
      </c>
      <c r="C288" t="str">
        <f t="shared" ca="1" si="29"/>
        <v>Food &amp; Beverages</v>
      </c>
      <c r="D288" t="str">
        <f t="shared" ca="1" si="30"/>
        <v>Rice Bag</v>
      </c>
      <c r="E288" t="str">
        <f t="shared" ca="1" si="31"/>
        <v>East</v>
      </c>
      <c r="F288">
        <f t="shared" ca="1" si="32"/>
        <v>6623</v>
      </c>
      <c r="G288">
        <f t="shared" ca="1" si="33"/>
        <v>24</v>
      </c>
      <c r="H288">
        <f t="shared" ca="1" si="34"/>
        <v>158952</v>
      </c>
    </row>
    <row r="289" spans="1:8" x14ac:dyDescent="0.3">
      <c r="A289" s="1">
        <v>45945</v>
      </c>
      <c r="B289" t="str">
        <f t="shared" si="28"/>
        <v>ORD288</v>
      </c>
      <c r="C289" t="str">
        <f t="shared" ca="1" si="29"/>
        <v>Stationery</v>
      </c>
      <c r="D289" t="str">
        <f t="shared" ca="1" si="30"/>
        <v>File Folder</v>
      </c>
      <c r="E289" t="str">
        <f t="shared" ca="1" si="31"/>
        <v>East</v>
      </c>
      <c r="F289">
        <f t="shared" ca="1" si="32"/>
        <v>2197</v>
      </c>
      <c r="G289">
        <f t="shared" ca="1" si="33"/>
        <v>11</v>
      </c>
      <c r="H289">
        <f t="shared" ca="1" si="34"/>
        <v>24167</v>
      </c>
    </row>
    <row r="290" spans="1:8" x14ac:dyDescent="0.3">
      <c r="A290" s="1">
        <v>45946</v>
      </c>
      <c r="B290" t="str">
        <f t="shared" si="28"/>
        <v>ORD289</v>
      </c>
      <c r="C290" t="str">
        <f t="shared" ca="1" si="29"/>
        <v>Clothing</v>
      </c>
      <c r="D290" t="str">
        <f t="shared" ca="1" si="30"/>
        <v>Jeans</v>
      </c>
      <c r="E290" t="str">
        <f t="shared" ca="1" si="31"/>
        <v>East</v>
      </c>
      <c r="F290">
        <f t="shared" ca="1" si="32"/>
        <v>9466</v>
      </c>
      <c r="G290">
        <f t="shared" ca="1" si="33"/>
        <v>24</v>
      </c>
      <c r="H290">
        <f t="shared" ca="1" si="34"/>
        <v>227184</v>
      </c>
    </row>
    <row r="291" spans="1:8" x14ac:dyDescent="0.3">
      <c r="A291" s="1">
        <v>45947</v>
      </c>
      <c r="B291" t="str">
        <f t="shared" si="28"/>
        <v>ORD290</v>
      </c>
      <c r="C291" t="str">
        <f t="shared" ca="1" si="29"/>
        <v>Food &amp; Beverages</v>
      </c>
      <c r="D291" t="str">
        <f t="shared" ca="1" si="30"/>
        <v>Tea Pack</v>
      </c>
      <c r="E291" t="str">
        <f t="shared" ca="1" si="31"/>
        <v>North</v>
      </c>
      <c r="F291">
        <f t="shared" ca="1" si="32"/>
        <v>8342</v>
      </c>
      <c r="G291">
        <f t="shared" ca="1" si="33"/>
        <v>14</v>
      </c>
      <c r="H291">
        <f t="shared" ca="1" si="34"/>
        <v>116788</v>
      </c>
    </row>
    <row r="292" spans="1:8" x14ac:dyDescent="0.3">
      <c r="A292" s="1">
        <v>45948</v>
      </c>
      <c r="B292" t="str">
        <f t="shared" si="28"/>
        <v>ORD291</v>
      </c>
      <c r="C292" t="str">
        <f t="shared" ca="1" si="29"/>
        <v>Sports Equipment</v>
      </c>
      <c r="D292" t="str">
        <f t="shared" ca="1" si="30"/>
        <v>Dumbbells</v>
      </c>
      <c r="E292" t="str">
        <f t="shared" ca="1" si="31"/>
        <v>West</v>
      </c>
      <c r="F292">
        <f t="shared" ca="1" si="32"/>
        <v>12065</v>
      </c>
      <c r="G292">
        <f t="shared" ca="1" si="33"/>
        <v>22</v>
      </c>
      <c r="H292">
        <f t="shared" ca="1" si="34"/>
        <v>265430</v>
      </c>
    </row>
    <row r="293" spans="1:8" x14ac:dyDescent="0.3">
      <c r="A293" s="1">
        <v>45949</v>
      </c>
      <c r="B293" t="str">
        <f t="shared" si="28"/>
        <v>ORD292</v>
      </c>
      <c r="C293" t="str">
        <f t="shared" ca="1" si="29"/>
        <v>Clothing</v>
      </c>
      <c r="D293" t="str">
        <f t="shared" ca="1" si="30"/>
        <v>Shoes</v>
      </c>
      <c r="E293" t="str">
        <f t="shared" ca="1" si="31"/>
        <v>West</v>
      </c>
      <c r="F293">
        <f t="shared" ca="1" si="32"/>
        <v>2236</v>
      </c>
      <c r="G293">
        <f t="shared" ca="1" si="33"/>
        <v>19</v>
      </c>
      <c r="H293">
        <f t="shared" ca="1" si="34"/>
        <v>42484</v>
      </c>
    </row>
    <row r="294" spans="1:8" x14ac:dyDescent="0.3">
      <c r="A294" s="1">
        <v>45950</v>
      </c>
      <c r="B294" t="str">
        <f t="shared" si="28"/>
        <v>ORD293</v>
      </c>
      <c r="C294" t="str">
        <f t="shared" ca="1" si="29"/>
        <v>Clothing</v>
      </c>
      <c r="D294" t="str">
        <f t="shared" ca="1" si="30"/>
        <v>Dress</v>
      </c>
      <c r="E294" t="str">
        <f t="shared" ca="1" si="31"/>
        <v>West</v>
      </c>
      <c r="F294">
        <f t="shared" ca="1" si="32"/>
        <v>5867</v>
      </c>
      <c r="G294">
        <f t="shared" ca="1" si="33"/>
        <v>21</v>
      </c>
      <c r="H294">
        <f t="shared" ca="1" si="34"/>
        <v>123207</v>
      </c>
    </row>
    <row r="295" spans="1:8" x14ac:dyDescent="0.3">
      <c r="A295" s="1">
        <v>45951</v>
      </c>
      <c r="B295" t="str">
        <f t="shared" si="28"/>
        <v>ORD294</v>
      </c>
      <c r="C295" t="str">
        <f t="shared" ca="1" si="29"/>
        <v>Stationery</v>
      </c>
      <c r="D295" t="str">
        <f t="shared" ca="1" si="30"/>
        <v>Notebook</v>
      </c>
      <c r="E295" t="str">
        <f t="shared" ca="1" si="31"/>
        <v>South</v>
      </c>
      <c r="F295">
        <f t="shared" ca="1" si="32"/>
        <v>4702</v>
      </c>
      <c r="G295">
        <f t="shared" ca="1" si="33"/>
        <v>1</v>
      </c>
      <c r="H295">
        <f t="shared" ca="1" si="34"/>
        <v>4702</v>
      </c>
    </row>
    <row r="296" spans="1:8" x14ac:dyDescent="0.3">
      <c r="A296" s="1">
        <v>45952</v>
      </c>
      <c r="B296" t="str">
        <f t="shared" si="28"/>
        <v>ORD295</v>
      </c>
      <c r="C296" t="str">
        <f t="shared" ca="1" si="29"/>
        <v>Stationery</v>
      </c>
      <c r="D296" t="str">
        <f t="shared" ca="1" si="30"/>
        <v>File Folder</v>
      </c>
      <c r="E296" t="str">
        <f t="shared" ca="1" si="31"/>
        <v>North</v>
      </c>
      <c r="F296">
        <f t="shared" ca="1" si="32"/>
        <v>4358</v>
      </c>
      <c r="G296">
        <f t="shared" ca="1" si="33"/>
        <v>29</v>
      </c>
      <c r="H296">
        <f t="shared" ca="1" si="34"/>
        <v>126382</v>
      </c>
    </row>
    <row r="297" spans="1:8" x14ac:dyDescent="0.3">
      <c r="A297" s="1">
        <v>45953</v>
      </c>
      <c r="B297" t="str">
        <f t="shared" si="28"/>
        <v>ORD296</v>
      </c>
      <c r="C297" t="str">
        <f t="shared" ca="1" si="29"/>
        <v>Stationery</v>
      </c>
      <c r="D297" t="str">
        <f t="shared" ca="1" si="30"/>
        <v>Pen</v>
      </c>
      <c r="E297" t="str">
        <f t="shared" ca="1" si="31"/>
        <v>South</v>
      </c>
      <c r="F297">
        <f t="shared" ca="1" si="32"/>
        <v>2483</v>
      </c>
      <c r="G297">
        <f t="shared" ca="1" si="33"/>
        <v>20</v>
      </c>
      <c r="H297">
        <f t="shared" ca="1" si="34"/>
        <v>49660</v>
      </c>
    </row>
    <row r="298" spans="1:8" x14ac:dyDescent="0.3">
      <c r="A298" s="1">
        <v>45954</v>
      </c>
      <c r="B298" t="str">
        <f t="shared" si="28"/>
        <v>ORD297</v>
      </c>
      <c r="C298" t="str">
        <f t="shared" ca="1" si="29"/>
        <v>Furniture</v>
      </c>
      <c r="D298" t="str">
        <f t="shared" ca="1" si="30"/>
        <v>Chair</v>
      </c>
      <c r="E298" t="str">
        <f t="shared" ca="1" si="31"/>
        <v>West</v>
      </c>
      <c r="F298">
        <f t="shared" ca="1" si="32"/>
        <v>18569</v>
      </c>
      <c r="G298">
        <f t="shared" ca="1" si="33"/>
        <v>5</v>
      </c>
      <c r="H298">
        <f t="shared" ca="1" si="34"/>
        <v>92845</v>
      </c>
    </row>
    <row r="299" spans="1:8" x14ac:dyDescent="0.3">
      <c r="A299" s="1">
        <v>45955</v>
      </c>
      <c r="B299" t="str">
        <f t="shared" si="28"/>
        <v>ORD298</v>
      </c>
      <c r="C299" t="str">
        <f t="shared" ca="1" si="29"/>
        <v>Furniture</v>
      </c>
      <c r="D299" t="str">
        <f t="shared" ca="1" si="30"/>
        <v>Sofa</v>
      </c>
      <c r="E299" t="str">
        <f t="shared" ca="1" si="31"/>
        <v>North</v>
      </c>
      <c r="F299">
        <f t="shared" ca="1" si="32"/>
        <v>20087</v>
      </c>
      <c r="G299">
        <f t="shared" ca="1" si="33"/>
        <v>16</v>
      </c>
      <c r="H299">
        <f t="shared" ca="1" si="34"/>
        <v>321392</v>
      </c>
    </row>
    <row r="300" spans="1:8" x14ac:dyDescent="0.3">
      <c r="A300" s="1">
        <v>45956</v>
      </c>
      <c r="B300" t="str">
        <f t="shared" si="28"/>
        <v>ORD299</v>
      </c>
      <c r="C300" t="str">
        <f t="shared" ca="1" si="29"/>
        <v>Furniture</v>
      </c>
      <c r="D300" t="str">
        <f t="shared" ca="1" si="30"/>
        <v>Chair</v>
      </c>
      <c r="E300" t="str">
        <f t="shared" ca="1" si="31"/>
        <v>North</v>
      </c>
      <c r="F300">
        <f t="shared" ca="1" si="32"/>
        <v>18174</v>
      </c>
      <c r="G300">
        <f t="shared" ca="1" si="33"/>
        <v>26</v>
      </c>
      <c r="H300">
        <f t="shared" ca="1" si="34"/>
        <v>472524</v>
      </c>
    </row>
    <row r="301" spans="1:8" x14ac:dyDescent="0.3">
      <c r="A301" s="1">
        <v>45957</v>
      </c>
      <c r="B301" t="str">
        <f t="shared" si="28"/>
        <v>ORD300</v>
      </c>
      <c r="C301" t="str">
        <f t="shared" ca="1" si="29"/>
        <v>Food &amp; Beverages</v>
      </c>
      <c r="D301" t="str">
        <f t="shared" ca="1" si="30"/>
        <v>Rice Bag</v>
      </c>
      <c r="E301" t="str">
        <f t="shared" ca="1" si="31"/>
        <v>South</v>
      </c>
      <c r="F301">
        <f t="shared" ca="1" si="32"/>
        <v>4127</v>
      </c>
      <c r="G301">
        <f t="shared" ca="1" si="33"/>
        <v>14</v>
      </c>
      <c r="H301">
        <f t="shared" ca="1" si="34"/>
        <v>57778</v>
      </c>
    </row>
    <row r="302" spans="1:8" x14ac:dyDescent="0.3">
      <c r="A302" s="1">
        <v>45958</v>
      </c>
      <c r="B302" t="str">
        <f t="shared" si="28"/>
        <v>ORD301</v>
      </c>
      <c r="C302" t="str">
        <f t="shared" ca="1" si="29"/>
        <v>Sports Equipment</v>
      </c>
      <c r="D302" t="str">
        <f t="shared" ca="1" si="30"/>
        <v>Yoga Mat</v>
      </c>
      <c r="E302" t="str">
        <f t="shared" ca="1" si="31"/>
        <v>North</v>
      </c>
      <c r="F302">
        <f t="shared" ca="1" si="32"/>
        <v>9301</v>
      </c>
      <c r="G302">
        <f t="shared" ca="1" si="33"/>
        <v>18</v>
      </c>
      <c r="H302">
        <f t="shared" ca="1" si="34"/>
        <v>167418</v>
      </c>
    </row>
    <row r="303" spans="1:8" x14ac:dyDescent="0.3">
      <c r="A303" s="1">
        <v>45959</v>
      </c>
      <c r="B303" t="str">
        <f t="shared" si="28"/>
        <v>ORD302</v>
      </c>
      <c r="C303" t="str">
        <f t="shared" ca="1" si="29"/>
        <v>Food &amp; Beverages</v>
      </c>
      <c r="D303" t="str">
        <f t="shared" ca="1" si="30"/>
        <v>Rice Bag</v>
      </c>
      <c r="E303" t="str">
        <f t="shared" ca="1" si="31"/>
        <v>South</v>
      </c>
      <c r="F303">
        <f t="shared" ca="1" si="32"/>
        <v>5199</v>
      </c>
      <c r="G303">
        <f t="shared" ca="1" si="33"/>
        <v>11</v>
      </c>
      <c r="H303">
        <f t="shared" ca="1" si="34"/>
        <v>57189</v>
      </c>
    </row>
    <row r="304" spans="1:8" x14ac:dyDescent="0.3">
      <c r="A304" s="1">
        <v>45960</v>
      </c>
      <c r="B304" t="str">
        <f t="shared" si="28"/>
        <v>ORD303</v>
      </c>
      <c r="C304" t="str">
        <f t="shared" ca="1" si="29"/>
        <v>Clothing</v>
      </c>
      <c r="D304" t="str">
        <f t="shared" ca="1" si="30"/>
        <v>Jeans</v>
      </c>
      <c r="E304" t="str">
        <f t="shared" ca="1" si="31"/>
        <v>North</v>
      </c>
      <c r="F304">
        <f t="shared" ca="1" si="32"/>
        <v>13663</v>
      </c>
      <c r="G304">
        <f t="shared" ca="1" si="33"/>
        <v>21</v>
      </c>
      <c r="H304">
        <f t="shared" ca="1" si="34"/>
        <v>286923</v>
      </c>
    </row>
    <row r="305" spans="1:8" x14ac:dyDescent="0.3">
      <c r="A305" s="1">
        <v>45961</v>
      </c>
      <c r="B305" t="str">
        <f t="shared" si="28"/>
        <v>ORD304</v>
      </c>
      <c r="C305" t="str">
        <f t="shared" ca="1" si="29"/>
        <v>Furniture</v>
      </c>
      <c r="D305" t="str">
        <f t="shared" ca="1" si="30"/>
        <v>Chair</v>
      </c>
      <c r="E305" t="str">
        <f t="shared" ca="1" si="31"/>
        <v>South</v>
      </c>
      <c r="F305">
        <f t="shared" ca="1" si="32"/>
        <v>20011</v>
      </c>
      <c r="G305">
        <f t="shared" ca="1" si="33"/>
        <v>2</v>
      </c>
      <c r="H305">
        <f t="shared" ca="1" si="34"/>
        <v>40022</v>
      </c>
    </row>
    <row r="306" spans="1:8" x14ac:dyDescent="0.3">
      <c r="A306" s="1">
        <v>45962</v>
      </c>
      <c r="B306" t="str">
        <f t="shared" si="28"/>
        <v>ORD305</v>
      </c>
      <c r="C306" t="str">
        <f t="shared" ca="1" si="29"/>
        <v>Food &amp; Beverages</v>
      </c>
      <c r="D306" t="str">
        <f t="shared" ca="1" si="30"/>
        <v>Rice Bag</v>
      </c>
      <c r="E306" t="str">
        <f t="shared" ca="1" si="31"/>
        <v>West</v>
      </c>
      <c r="F306">
        <f t="shared" ca="1" si="32"/>
        <v>5793</v>
      </c>
      <c r="G306">
        <f t="shared" ca="1" si="33"/>
        <v>7</v>
      </c>
      <c r="H306">
        <f t="shared" ca="1" si="34"/>
        <v>40551</v>
      </c>
    </row>
    <row r="307" spans="1:8" x14ac:dyDescent="0.3">
      <c r="A307" s="1">
        <v>45963</v>
      </c>
      <c r="B307" t="str">
        <f t="shared" si="28"/>
        <v>ORD306</v>
      </c>
      <c r="C307" t="str">
        <f t="shared" ca="1" si="29"/>
        <v>Electronics</v>
      </c>
      <c r="D307" t="str">
        <f t="shared" ca="1" si="30"/>
        <v>Laptop</v>
      </c>
      <c r="E307" t="str">
        <f t="shared" ca="1" si="31"/>
        <v>West</v>
      </c>
      <c r="F307">
        <f t="shared" ca="1" si="32"/>
        <v>36215</v>
      </c>
      <c r="G307">
        <f t="shared" ca="1" si="33"/>
        <v>11</v>
      </c>
      <c r="H307">
        <f t="shared" ca="1" si="34"/>
        <v>398365</v>
      </c>
    </row>
    <row r="308" spans="1:8" x14ac:dyDescent="0.3">
      <c r="A308" s="1">
        <v>45964</v>
      </c>
      <c r="B308" t="str">
        <f t="shared" si="28"/>
        <v>ORD307</v>
      </c>
      <c r="C308" t="str">
        <f t="shared" ca="1" si="29"/>
        <v>Sports Equipment</v>
      </c>
      <c r="D308" t="str">
        <f t="shared" ca="1" si="30"/>
        <v>Bicycle</v>
      </c>
      <c r="E308" t="str">
        <f t="shared" ca="1" si="31"/>
        <v>North</v>
      </c>
      <c r="F308">
        <f t="shared" ca="1" si="32"/>
        <v>14589</v>
      </c>
      <c r="G308">
        <f t="shared" ca="1" si="33"/>
        <v>8</v>
      </c>
      <c r="H308">
        <f t="shared" ca="1" si="34"/>
        <v>116712</v>
      </c>
    </row>
    <row r="309" spans="1:8" x14ac:dyDescent="0.3">
      <c r="A309" s="1">
        <v>45965</v>
      </c>
      <c r="B309" t="str">
        <f t="shared" si="28"/>
        <v>ORD308</v>
      </c>
      <c r="C309" t="str">
        <f t="shared" ca="1" si="29"/>
        <v>Clothing</v>
      </c>
      <c r="D309" t="str">
        <f t="shared" ca="1" si="30"/>
        <v>Jacket</v>
      </c>
      <c r="E309" t="str">
        <f t="shared" ca="1" si="31"/>
        <v>North</v>
      </c>
      <c r="F309">
        <f t="shared" ca="1" si="32"/>
        <v>10542</v>
      </c>
      <c r="G309">
        <f t="shared" ca="1" si="33"/>
        <v>27</v>
      </c>
      <c r="H309">
        <f t="shared" ca="1" si="34"/>
        <v>284634</v>
      </c>
    </row>
    <row r="310" spans="1:8" x14ac:dyDescent="0.3">
      <c r="A310" s="1">
        <v>45966</v>
      </c>
      <c r="B310" t="str">
        <f t="shared" si="28"/>
        <v>ORD309</v>
      </c>
      <c r="C310" t="str">
        <f t="shared" ca="1" si="29"/>
        <v>Sports Equipment</v>
      </c>
      <c r="D310" t="str">
        <f t="shared" ca="1" si="30"/>
        <v>Yoga Mat</v>
      </c>
      <c r="E310" t="str">
        <f t="shared" ca="1" si="31"/>
        <v>West</v>
      </c>
      <c r="F310">
        <f t="shared" ca="1" si="32"/>
        <v>3619</v>
      </c>
      <c r="G310">
        <f t="shared" ca="1" si="33"/>
        <v>7</v>
      </c>
      <c r="H310">
        <f t="shared" ca="1" si="34"/>
        <v>25333</v>
      </c>
    </row>
    <row r="311" spans="1:8" x14ac:dyDescent="0.3">
      <c r="A311" s="1">
        <v>45967</v>
      </c>
      <c r="B311" t="str">
        <f t="shared" si="28"/>
        <v>ORD310</v>
      </c>
      <c r="C311" t="str">
        <f t="shared" ca="1" si="29"/>
        <v>Sports Equipment</v>
      </c>
      <c r="D311" t="str">
        <f t="shared" ca="1" si="30"/>
        <v>Football</v>
      </c>
      <c r="E311" t="str">
        <f t="shared" ca="1" si="31"/>
        <v>West</v>
      </c>
      <c r="F311">
        <f t="shared" ca="1" si="32"/>
        <v>8020</v>
      </c>
      <c r="G311">
        <f t="shared" ca="1" si="33"/>
        <v>20</v>
      </c>
      <c r="H311">
        <f t="shared" ca="1" si="34"/>
        <v>160400</v>
      </c>
    </row>
    <row r="312" spans="1:8" x14ac:dyDescent="0.3">
      <c r="A312" s="1">
        <v>45968</v>
      </c>
      <c r="B312" t="str">
        <f t="shared" si="28"/>
        <v>ORD311</v>
      </c>
      <c r="C312" t="str">
        <f t="shared" ca="1" si="29"/>
        <v>Sports Equipment</v>
      </c>
      <c r="D312" t="str">
        <f t="shared" ca="1" si="30"/>
        <v>Dumbbells</v>
      </c>
      <c r="E312" t="str">
        <f t="shared" ca="1" si="31"/>
        <v>South</v>
      </c>
      <c r="F312">
        <f t="shared" ca="1" si="32"/>
        <v>24337</v>
      </c>
      <c r="G312">
        <f t="shared" ca="1" si="33"/>
        <v>5</v>
      </c>
      <c r="H312">
        <f t="shared" ca="1" si="34"/>
        <v>121685</v>
      </c>
    </row>
    <row r="313" spans="1:8" x14ac:dyDescent="0.3">
      <c r="A313" s="1">
        <v>45969</v>
      </c>
      <c r="B313" t="str">
        <f t="shared" si="28"/>
        <v>ORD312</v>
      </c>
      <c r="C313" t="str">
        <f t="shared" ca="1" si="29"/>
        <v>Food &amp; Beverages</v>
      </c>
      <c r="D313" t="str">
        <f t="shared" ca="1" si="30"/>
        <v>Coffee Pack</v>
      </c>
      <c r="E313" t="str">
        <f t="shared" ca="1" si="31"/>
        <v>North</v>
      </c>
      <c r="F313">
        <f t="shared" ca="1" si="32"/>
        <v>8087</v>
      </c>
      <c r="G313">
        <f t="shared" ca="1" si="33"/>
        <v>2</v>
      </c>
      <c r="H313">
        <f t="shared" ca="1" si="34"/>
        <v>16174</v>
      </c>
    </row>
    <row r="314" spans="1:8" x14ac:dyDescent="0.3">
      <c r="A314" s="1">
        <v>45970</v>
      </c>
      <c r="B314" t="str">
        <f t="shared" si="28"/>
        <v>ORD313</v>
      </c>
      <c r="C314" t="str">
        <f t="shared" ca="1" si="29"/>
        <v>Clothing</v>
      </c>
      <c r="D314" t="str">
        <f t="shared" ca="1" si="30"/>
        <v>Shoes</v>
      </c>
      <c r="E314" t="str">
        <f t="shared" ca="1" si="31"/>
        <v>North</v>
      </c>
      <c r="F314">
        <f t="shared" ca="1" si="32"/>
        <v>10732</v>
      </c>
      <c r="G314">
        <f t="shared" ca="1" si="33"/>
        <v>3</v>
      </c>
      <c r="H314">
        <f t="shared" ca="1" si="34"/>
        <v>32196</v>
      </c>
    </row>
    <row r="315" spans="1:8" x14ac:dyDescent="0.3">
      <c r="A315" s="1">
        <v>45971</v>
      </c>
      <c r="B315" t="str">
        <f t="shared" si="28"/>
        <v>ORD314</v>
      </c>
      <c r="C315" t="str">
        <f t="shared" ca="1" si="29"/>
        <v>Stationery</v>
      </c>
      <c r="D315" t="str">
        <f t="shared" ca="1" si="30"/>
        <v>Notebook</v>
      </c>
      <c r="E315" t="str">
        <f t="shared" ca="1" si="31"/>
        <v>North</v>
      </c>
      <c r="F315">
        <f t="shared" ca="1" si="32"/>
        <v>1536</v>
      </c>
      <c r="G315">
        <f t="shared" ca="1" si="33"/>
        <v>13</v>
      </c>
      <c r="H315">
        <f t="shared" ca="1" si="34"/>
        <v>19968</v>
      </c>
    </row>
    <row r="316" spans="1:8" x14ac:dyDescent="0.3">
      <c r="A316" s="1">
        <v>45972</v>
      </c>
      <c r="B316" t="str">
        <f t="shared" si="28"/>
        <v>ORD315</v>
      </c>
      <c r="C316" t="str">
        <f t="shared" ca="1" si="29"/>
        <v>Furniture</v>
      </c>
      <c r="D316" t="str">
        <f t="shared" ca="1" si="30"/>
        <v>Desk</v>
      </c>
      <c r="E316" t="str">
        <f t="shared" ca="1" si="31"/>
        <v>East</v>
      </c>
      <c r="F316">
        <f t="shared" ca="1" si="32"/>
        <v>27040</v>
      </c>
      <c r="G316">
        <f t="shared" ca="1" si="33"/>
        <v>26</v>
      </c>
      <c r="H316">
        <f t="shared" ca="1" si="34"/>
        <v>703040</v>
      </c>
    </row>
    <row r="317" spans="1:8" x14ac:dyDescent="0.3">
      <c r="A317" s="1">
        <v>45973</v>
      </c>
      <c r="B317" t="str">
        <f t="shared" si="28"/>
        <v>ORD316</v>
      </c>
      <c r="C317" t="str">
        <f t="shared" ca="1" si="29"/>
        <v>Sports Equipment</v>
      </c>
      <c r="D317" t="str">
        <f t="shared" ca="1" si="30"/>
        <v>Yoga Mat</v>
      </c>
      <c r="E317" t="str">
        <f t="shared" ca="1" si="31"/>
        <v>North</v>
      </c>
      <c r="F317">
        <f t="shared" ca="1" si="32"/>
        <v>17559</v>
      </c>
      <c r="G317">
        <f t="shared" ca="1" si="33"/>
        <v>11</v>
      </c>
      <c r="H317">
        <f t="shared" ca="1" si="34"/>
        <v>193149</v>
      </c>
    </row>
    <row r="318" spans="1:8" x14ac:dyDescent="0.3">
      <c r="A318" s="1">
        <v>45974</v>
      </c>
      <c r="B318" t="str">
        <f t="shared" si="28"/>
        <v>ORD317</v>
      </c>
      <c r="C318" t="str">
        <f t="shared" ca="1" si="29"/>
        <v>Food &amp; Beverages</v>
      </c>
      <c r="D318" t="str">
        <f t="shared" ca="1" si="30"/>
        <v>Coffee Pack</v>
      </c>
      <c r="E318" t="str">
        <f t="shared" ca="1" si="31"/>
        <v>West</v>
      </c>
      <c r="F318">
        <f t="shared" ca="1" si="32"/>
        <v>4672</v>
      </c>
      <c r="G318">
        <f t="shared" ca="1" si="33"/>
        <v>23</v>
      </c>
      <c r="H318">
        <f t="shared" ca="1" si="34"/>
        <v>107456</v>
      </c>
    </row>
    <row r="319" spans="1:8" x14ac:dyDescent="0.3">
      <c r="A319" s="1">
        <v>45975</v>
      </c>
      <c r="B319" t="str">
        <f t="shared" si="28"/>
        <v>ORD318</v>
      </c>
      <c r="C319" t="str">
        <f t="shared" ca="1" si="29"/>
        <v>Electronics</v>
      </c>
      <c r="D319" t="str">
        <f t="shared" ca="1" si="30"/>
        <v>Smartwatch</v>
      </c>
      <c r="E319" t="str">
        <f t="shared" ca="1" si="31"/>
        <v>South</v>
      </c>
      <c r="F319">
        <f t="shared" ca="1" si="32"/>
        <v>74968</v>
      </c>
      <c r="G319">
        <f t="shared" ca="1" si="33"/>
        <v>6</v>
      </c>
      <c r="H319">
        <f t="shared" ca="1" si="34"/>
        <v>449808</v>
      </c>
    </row>
    <row r="320" spans="1:8" x14ac:dyDescent="0.3">
      <c r="A320" s="1">
        <v>45976</v>
      </c>
      <c r="B320" t="str">
        <f t="shared" si="28"/>
        <v>ORD319</v>
      </c>
      <c r="C320" t="str">
        <f t="shared" ca="1" si="29"/>
        <v>Electronics</v>
      </c>
      <c r="D320" t="str">
        <f t="shared" ca="1" si="30"/>
        <v>Headphones</v>
      </c>
      <c r="E320" t="str">
        <f t="shared" ca="1" si="31"/>
        <v>East</v>
      </c>
      <c r="F320">
        <f t="shared" ca="1" si="32"/>
        <v>23409</v>
      </c>
      <c r="G320">
        <f t="shared" ca="1" si="33"/>
        <v>2</v>
      </c>
      <c r="H320">
        <f t="shared" ca="1" si="34"/>
        <v>46818</v>
      </c>
    </row>
    <row r="321" spans="1:8" x14ac:dyDescent="0.3">
      <c r="A321" s="1">
        <v>45977</v>
      </c>
      <c r="B321" t="str">
        <f t="shared" si="28"/>
        <v>ORD320</v>
      </c>
      <c r="C321" t="str">
        <f t="shared" ca="1" si="29"/>
        <v>Electronics</v>
      </c>
      <c r="D321" t="str">
        <f t="shared" ca="1" si="30"/>
        <v>Tablet</v>
      </c>
      <c r="E321" t="str">
        <f t="shared" ca="1" si="31"/>
        <v>North</v>
      </c>
      <c r="F321">
        <f t="shared" ca="1" si="32"/>
        <v>64508</v>
      </c>
      <c r="G321">
        <f t="shared" ca="1" si="33"/>
        <v>28</v>
      </c>
      <c r="H321">
        <f t="shared" ca="1" si="34"/>
        <v>1806224</v>
      </c>
    </row>
    <row r="322" spans="1:8" x14ac:dyDescent="0.3">
      <c r="A322" s="1">
        <v>45978</v>
      </c>
      <c r="B322" t="str">
        <f t="shared" si="28"/>
        <v>ORD321</v>
      </c>
      <c r="C322" t="str">
        <f t="shared" ca="1" si="29"/>
        <v>Furniture</v>
      </c>
      <c r="D322" t="str">
        <f t="shared" ca="1" si="30"/>
        <v>Desk</v>
      </c>
      <c r="E322" t="str">
        <f t="shared" ca="1" si="31"/>
        <v>East</v>
      </c>
      <c r="F322">
        <f t="shared" ca="1" si="32"/>
        <v>26952</v>
      </c>
      <c r="G322">
        <f t="shared" ca="1" si="33"/>
        <v>17</v>
      </c>
      <c r="H322">
        <f t="shared" ca="1" si="34"/>
        <v>458184</v>
      </c>
    </row>
    <row r="323" spans="1:8" x14ac:dyDescent="0.3">
      <c r="A323" s="1">
        <v>45979</v>
      </c>
      <c r="B323" t="str">
        <f t="shared" ref="B323:B366" si="35">"ORD"&amp;TEXT(ROW(A323)-1,"000")</f>
        <v>ORD322</v>
      </c>
      <c r="C323" t="str">
        <f t="shared" ref="C323:C366" ca="1" si="36">CHOOSE(RANDBETWEEN(1,6),"Electronics","Furniture","Clothing","Food &amp; Beverages","Sports Equipment","Stationery")</f>
        <v>Stationery</v>
      </c>
      <c r="D323" t="str">
        <f t="shared" ref="D323:D366" ca="1" si="37">IF(C323="Electronics", CHOOSE(RANDBETWEEN(1,5),"Laptop","Smartphone","Tablet","Headphones","Smartwatch"),
 IF(C323="Furniture", CHOOSE(RANDBETWEEN(1,5),"Chair","Desk","Sofa","Bed","Bookshelf"),
 IF(C323="Clothing", CHOOSE(RANDBETWEEN(1,5),"Jacket","T-Shirt","Jeans","Dress","Shoes"),
 IF(C323="Food &amp; Beverages", CHOOSE(RANDBETWEEN(1,5),"Coffee Pack","Juice Bottle","Snack Box","Rice Bag","Tea Pack"),
 IF(C323="Sports Equipment", CHOOSE(RANDBETWEEN(1,5),"Football","Tennis Racket","Yoga Mat","Dumbbells","Bicycle"),
 IF(C323="Stationery", CHOOSE(RANDBETWEEN(1,5),"Notebook","Pen","Marker","Stapler","File Folder")))))))</f>
        <v>Notebook</v>
      </c>
      <c r="E323" t="str">
        <f t="shared" ref="E323:E366" ca="1" si="38">CHOOSE(RANDBETWEEN(1,4),"North","South","East","West")</f>
        <v>East</v>
      </c>
      <c r="F323">
        <f t="shared" ref="F323:F366" ca="1" si="39">IF(C323="Electronics",RANDBETWEEN(20000,80000),
 IF(C323="Furniture",RANDBETWEEN(5000,30000),
 IF(C323="Clothing",RANDBETWEEN(1000,15000),
 IF(C323="Food &amp; Beverages",RANDBETWEEN(500,10000),
 IF(C323="Sports Equipment",RANDBETWEEN(2000,25000),
 IF(C323="Stationery",RANDBETWEEN(100,5000)))))))</f>
        <v>4862</v>
      </c>
      <c r="G323">
        <f t="shared" ref="G323:G366" ca="1" si="40">RANDBETWEEN(1,30)</f>
        <v>11</v>
      </c>
      <c r="H323">
        <f t="shared" ref="H323:H366" ca="1" si="41">F323 * G323</f>
        <v>53482</v>
      </c>
    </row>
    <row r="324" spans="1:8" x14ac:dyDescent="0.3">
      <c r="A324" s="1">
        <v>45980</v>
      </c>
      <c r="B324" t="str">
        <f t="shared" si="35"/>
        <v>ORD323</v>
      </c>
      <c r="C324" t="str">
        <f t="shared" ca="1" si="36"/>
        <v>Sports Equipment</v>
      </c>
      <c r="D324" t="str">
        <f t="shared" ca="1" si="37"/>
        <v>Dumbbells</v>
      </c>
      <c r="E324" t="str">
        <f t="shared" ca="1" si="38"/>
        <v>West</v>
      </c>
      <c r="F324">
        <f t="shared" ca="1" si="39"/>
        <v>23197</v>
      </c>
      <c r="G324">
        <f t="shared" ca="1" si="40"/>
        <v>2</v>
      </c>
      <c r="H324">
        <f t="shared" ca="1" si="41"/>
        <v>46394</v>
      </c>
    </row>
    <row r="325" spans="1:8" x14ac:dyDescent="0.3">
      <c r="A325" s="1">
        <v>45981</v>
      </c>
      <c r="B325" t="str">
        <f t="shared" si="35"/>
        <v>ORD324</v>
      </c>
      <c r="C325" t="str">
        <f t="shared" ca="1" si="36"/>
        <v>Furniture</v>
      </c>
      <c r="D325" t="str">
        <f t="shared" ca="1" si="37"/>
        <v>Sofa</v>
      </c>
      <c r="E325" t="str">
        <f t="shared" ca="1" si="38"/>
        <v>South</v>
      </c>
      <c r="F325">
        <f t="shared" ca="1" si="39"/>
        <v>23113</v>
      </c>
      <c r="G325">
        <f t="shared" ca="1" si="40"/>
        <v>8</v>
      </c>
      <c r="H325">
        <f t="shared" ca="1" si="41"/>
        <v>184904</v>
      </c>
    </row>
    <row r="326" spans="1:8" x14ac:dyDescent="0.3">
      <c r="A326" s="1">
        <v>45982</v>
      </c>
      <c r="B326" t="str">
        <f t="shared" si="35"/>
        <v>ORD325</v>
      </c>
      <c r="C326" t="str">
        <f t="shared" ca="1" si="36"/>
        <v>Furniture</v>
      </c>
      <c r="D326" t="str">
        <f t="shared" ca="1" si="37"/>
        <v>Bed</v>
      </c>
      <c r="E326" t="str">
        <f t="shared" ca="1" si="38"/>
        <v>East</v>
      </c>
      <c r="F326">
        <f t="shared" ca="1" si="39"/>
        <v>16409</v>
      </c>
      <c r="G326">
        <f t="shared" ca="1" si="40"/>
        <v>1</v>
      </c>
      <c r="H326">
        <f t="shared" ca="1" si="41"/>
        <v>16409</v>
      </c>
    </row>
    <row r="327" spans="1:8" x14ac:dyDescent="0.3">
      <c r="A327" s="1">
        <v>45983</v>
      </c>
      <c r="B327" t="str">
        <f t="shared" si="35"/>
        <v>ORD326</v>
      </c>
      <c r="C327" t="str">
        <f t="shared" ca="1" si="36"/>
        <v>Stationery</v>
      </c>
      <c r="D327" t="str">
        <f t="shared" ca="1" si="37"/>
        <v>Notebook</v>
      </c>
      <c r="E327" t="str">
        <f t="shared" ca="1" si="38"/>
        <v>South</v>
      </c>
      <c r="F327">
        <f t="shared" ca="1" si="39"/>
        <v>232</v>
      </c>
      <c r="G327">
        <f t="shared" ca="1" si="40"/>
        <v>7</v>
      </c>
      <c r="H327">
        <f t="shared" ca="1" si="41"/>
        <v>1624</v>
      </c>
    </row>
    <row r="328" spans="1:8" x14ac:dyDescent="0.3">
      <c r="A328" s="1">
        <v>45984</v>
      </c>
      <c r="B328" t="str">
        <f t="shared" si="35"/>
        <v>ORD327</v>
      </c>
      <c r="C328" t="str">
        <f t="shared" ca="1" si="36"/>
        <v>Stationery</v>
      </c>
      <c r="D328" t="str">
        <f t="shared" ca="1" si="37"/>
        <v>File Folder</v>
      </c>
      <c r="E328" t="str">
        <f t="shared" ca="1" si="38"/>
        <v>East</v>
      </c>
      <c r="F328">
        <f t="shared" ca="1" si="39"/>
        <v>3306</v>
      </c>
      <c r="G328">
        <f t="shared" ca="1" si="40"/>
        <v>6</v>
      </c>
      <c r="H328">
        <f t="shared" ca="1" si="41"/>
        <v>19836</v>
      </c>
    </row>
    <row r="329" spans="1:8" x14ac:dyDescent="0.3">
      <c r="A329" s="1">
        <v>45985</v>
      </c>
      <c r="B329" t="str">
        <f t="shared" si="35"/>
        <v>ORD328</v>
      </c>
      <c r="C329" t="str">
        <f t="shared" ca="1" si="36"/>
        <v>Furniture</v>
      </c>
      <c r="D329" t="str">
        <f t="shared" ca="1" si="37"/>
        <v>Chair</v>
      </c>
      <c r="E329" t="str">
        <f t="shared" ca="1" si="38"/>
        <v>South</v>
      </c>
      <c r="F329">
        <f t="shared" ca="1" si="39"/>
        <v>25602</v>
      </c>
      <c r="G329">
        <f t="shared" ca="1" si="40"/>
        <v>18</v>
      </c>
      <c r="H329">
        <f t="shared" ca="1" si="41"/>
        <v>460836</v>
      </c>
    </row>
    <row r="330" spans="1:8" x14ac:dyDescent="0.3">
      <c r="A330" s="1">
        <v>45986</v>
      </c>
      <c r="B330" t="str">
        <f t="shared" si="35"/>
        <v>ORD329</v>
      </c>
      <c r="C330" t="str">
        <f t="shared" ca="1" si="36"/>
        <v>Clothing</v>
      </c>
      <c r="D330" t="str">
        <f t="shared" ca="1" si="37"/>
        <v>Jeans</v>
      </c>
      <c r="E330" t="str">
        <f t="shared" ca="1" si="38"/>
        <v>West</v>
      </c>
      <c r="F330">
        <f t="shared" ca="1" si="39"/>
        <v>1053</v>
      </c>
      <c r="G330">
        <f t="shared" ca="1" si="40"/>
        <v>30</v>
      </c>
      <c r="H330">
        <f t="shared" ca="1" si="41"/>
        <v>31590</v>
      </c>
    </row>
    <row r="331" spans="1:8" x14ac:dyDescent="0.3">
      <c r="A331" s="1">
        <v>45987</v>
      </c>
      <c r="B331" t="str">
        <f t="shared" si="35"/>
        <v>ORD330</v>
      </c>
      <c r="C331" t="str">
        <f t="shared" ca="1" si="36"/>
        <v>Clothing</v>
      </c>
      <c r="D331" t="str">
        <f t="shared" ca="1" si="37"/>
        <v>Jeans</v>
      </c>
      <c r="E331" t="str">
        <f t="shared" ca="1" si="38"/>
        <v>East</v>
      </c>
      <c r="F331">
        <f t="shared" ca="1" si="39"/>
        <v>3204</v>
      </c>
      <c r="G331">
        <f t="shared" ca="1" si="40"/>
        <v>26</v>
      </c>
      <c r="H331">
        <f t="shared" ca="1" si="41"/>
        <v>83304</v>
      </c>
    </row>
    <row r="332" spans="1:8" x14ac:dyDescent="0.3">
      <c r="A332" s="1">
        <v>45988</v>
      </c>
      <c r="B332" t="str">
        <f t="shared" si="35"/>
        <v>ORD331</v>
      </c>
      <c r="C332" t="str">
        <f t="shared" ca="1" si="36"/>
        <v>Electronics</v>
      </c>
      <c r="D332" t="str">
        <f t="shared" ca="1" si="37"/>
        <v>Smartphone</v>
      </c>
      <c r="E332" t="str">
        <f t="shared" ca="1" si="38"/>
        <v>South</v>
      </c>
      <c r="F332">
        <f t="shared" ca="1" si="39"/>
        <v>33208</v>
      </c>
      <c r="G332">
        <f t="shared" ca="1" si="40"/>
        <v>1</v>
      </c>
      <c r="H332">
        <f t="shared" ca="1" si="41"/>
        <v>33208</v>
      </c>
    </row>
    <row r="333" spans="1:8" x14ac:dyDescent="0.3">
      <c r="A333" s="1">
        <v>45989</v>
      </c>
      <c r="B333" t="str">
        <f t="shared" si="35"/>
        <v>ORD332</v>
      </c>
      <c r="C333" t="str">
        <f t="shared" ca="1" si="36"/>
        <v>Furniture</v>
      </c>
      <c r="D333" t="str">
        <f t="shared" ca="1" si="37"/>
        <v>Sofa</v>
      </c>
      <c r="E333" t="str">
        <f t="shared" ca="1" si="38"/>
        <v>South</v>
      </c>
      <c r="F333">
        <f t="shared" ca="1" si="39"/>
        <v>8810</v>
      </c>
      <c r="G333">
        <f t="shared" ca="1" si="40"/>
        <v>12</v>
      </c>
      <c r="H333">
        <f t="shared" ca="1" si="41"/>
        <v>105720</v>
      </c>
    </row>
    <row r="334" spans="1:8" x14ac:dyDescent="0.3">
      <c r="A334" s="1">
        <v>45990</v>
      </c>
      <c r="B334" t="str">
        <f t="shared" si="35"/>
        <v>ORD333</v>
      </c>
      <c r="C334" t="str">
        <f t="shared" ca="1" si="36"/>
        <v>Food &amp; Beverages</v>
      </c>
      <c r="D334" t="str">
        <f t="shared" ca="1" si="37"/>
        <v>Rice Bag</v>
      </c>
      <c r="E334" t="str">
        <f t="shared" ca="1" si="38"/>
        <v>East</v>
      </c>
      <c r="F334">
        <f t="shared" ca="1" si="39"/>
        <v>8096</v>
      </c>
      <c r="G334">
        <f t="shared" ca="1" si="40"/>
        <v>17</v>
      </c>
      <c r="H334">
        <f t="shared" ca="1" si="41"/>
        <v>137632</v>
      </c>
    </row>
    <row r="335" spans="1:8" x14ac:dyDescent="0.3">
      <c r="A335" s="1">
        <v>45991</v>
      </c>
      <c r="B335" t="str">
        <f t="shared" si="35"/>
        <v>ORD334</v>
      </c>
      <c r="C335" t="str">
        <f t="shared" ca="1" si="36"/>
        <v>Stationery</v>
      </c>
      <c r="D335" t="str">
        <f t="shared" ca="1" si="37"/>
        <v>Pen</v>
      </c>
      <c r="E335" t="str">
        <f t="shared" ca="1" si="38"/>
        <v>South</v>
      </c>
      <c r="F335">
        <f t="shared" ca="1" si="39"/>
        <v>2287</v>
      </c>
      <c r="G335">
        <f t="shared" ca="1" si="40"/>
        <v>27</v>
      </c>
      <c r="H335">
        <f t="shared" ca="1" si="41"/>
        <v>61749</v>
      </c>
    </row>
    <row r="336" spans="1:8" x14ac:dyDescent="0.3">
      <c r="A336" s="1">
        <v>45992</v>
      </c>
      <c r="B336" t="str">
        <f t="shared" si="35"/>
        <v>ORD335</v>
      </c>
      <c r="C336" t="str">
        <f t="shared" ca="1" si="36"/>
        <v>Food &amp; Beverages</v>
      </c>
      <c r="D336" t="str">
        <f t="shared" ca="1" si="37"/>
        <v>Juice Bottle</v>
      </c>
      <c r="E336" t="str">
        <f t="shared" ca="1" si="38"/>
        <v>East</v>
      </c>
      <c r="F336">
        <f t="shared" ca="1" si="39"/>
        <v>502</v>
      </c>
      <c r="G336">
        <f t="shared" ca="1" si="40"/>
        <v>13</v>
      </c>
      <c r="H336">
        <f t="shared" ca="1" si="41"/>
        <v>6526</v>
      </c>
    </row>
    <row r="337" spans="1:8" x14ac:dyDescent="0.3">
      <c r="A337" s="1">
        <v>45993</v>
      </c>
      <c r="B337" t="str">
        <f t="shared" si="35"/>
        <v>ORD336</v>
      </c>
      <c r="C337" t="str">
        <f t="shared" ca="1" si="36"/>
        <v>Stationery</v>
      </c>
      <c r="D337" t="str">
        <f t="shared" ca="1" si="37"/>
        <v>File Folder</v>
      </c>
      <c r="E337" t="str">
        <f t="shared" ca="1" si="38"/>
        <v>West</v>
      </c>
      <c r="F337">
        <f t="shared" ca="1" si="39"/>
        <v>2132</v>
      </c>
      <c r="G337">
        <f t="shared" ca="1" si="40"/>
        <v>7</v>
      </c>
      <c r="H337">
        <f t="shared" ca="1" si="41"/>
        <v>14924</v>
      </c>
    </row>
    <row r="338" spans="1:8" x14ac:dyDescent="0.3">
      <c r="A338" s="1">
        <v>45994</v>
      </c>
      <c r="B338" t="str">
        <f t="shared" si="35"/>
        <v>ORD337</v>
      </c>
      <c r="C338" t="str">
        <f t="shared" ca="1" si="36"/>
        <v>Electronics</v>
      </c>
      <c r="D338" t="str">
        <f t="shared" ca="1" si="37"/>
        <v>Smartphone</v>
      </c>
      <c r="E338" t="str">
        <f t="shared" ca="1" si="38"/>
        <v>North</v>
      </c>
      <c r="F338">
        <f t="shared" ca="1" si="39"/>
        <v>69346</v>
      </c>
      <c r="G338">
        <f t="shared" ca="1" si="40"/>
        <v>3</v>
      </c>
      <c r="H338">
        <f t="shared" ca="1" si="41"/>
        <v>208038</v>
      </c>
    </row>
    <row r="339" spans="1:8" x14ac:dyDescent="0.3">
      <c r="A339" s="1">
        <v>45995</v>
      </c>
      <c r="B339" t="str">
        <f t="shared" si="35"/>
        <v>ORD338</v>
      </c>
      <c r="C339" t="str">
        <f t="shared" ca="1" si="36"/>
        <v>Electronics</v>
      </c>
      <c r="D339" t="str">
        <f t="shared" ca="1" si="37"/>
        <v>Tablet</v>
      </c>
      <c r="E339" t="str">
        <f t="shared" ca="1" si="38"/>
        <v>East</v>
      </c>
      <c r="F339">
        <f t="shared" ca="1" si="39"/>
        <v>54135</v>
      </c>
      <c r="G339">
        <f t="shared" ca="1" si="40"/>
        <v>18</v>
      </c>
      <c r="H339">
        <f t="shared" ca="1" si="41"/>
        <v>974430</v>
      </c>
    </row>
    <row r="340" spans="1:8" x14ac:dyDescent="0.3">
      <c r="A340" s="1">
        <v>45996</v>
      </c>
      <c r="B340" t="str">
        <f t="shared" si="35"/>
        <v>ORD339</v>
      </c>
      <c r="C340" t="str">
        <f t="shared" ca="1" si="36"/>
        <v>Stationery</v>
      </c>
      <c r="D340" t="str">
        <f t="shared" ca="1" si="37"/>
        <v>Pen</v>
      </c>
      <c r="E340" t="str">
        <f t="shared" ca="1" si="38"/>
        <v>West</v>
      </c>
      <c r="F340">
        <f t="shared" ca="1" si="39"/>
        <v>1258</v>
      </c>
      <c r="G340">
        <f t="shared" ca="1" si="40"/>
        <v>30</v>
      </c>
      <c r="H340">
        <f t="shared" ca="1" si="41"/>
        <v>37740</v>
      </c>
    </row>
    <row r="341" spans="1:8" x14ac:dyDescent="0.3">
      <c r="A341" s="1">
        <v>45997</v>
      </c>
      <c r="B341" t="str">
        <f t="shared" si="35"/>
        <v>ORD340</v>
      </c>
      <c r="C341" t="str">
        <f t="shared" ca="1" si="36"/>
        <v>Furniture</v>
      </c>
      <c r="D341" t="str">
        <f t="shared" ca="1" si="37"/>
        <v>Sofa</v>
      </c>
      <c r="E341" t="str">
        <f t="shared" ca="1" si="38"/>
        <v>West</v>
      </c>
      <c r="F341">
        <f t="shared" ca="1" si="39"/>
        <v>21191</v>
      </c>
      <c r="G341">
        <f t="shared" ca="1" si="40"/>
        <v>11</v>
      </c>
      <c r="H341">
        <f t="shared" ca="1" si="41"/>
        <v>233101</v>
      </c>
    </row>
    <row r="342" spans="1:8" x14ac:dyDescent="0.3">
      <c r="A342" s="1">
        <v>45998</v>
      </c>
      <c r="B342" t="str">
        <f t="shared" si="35"/>
        <v>ORD341</v>
      </c>
      <c r="C342" t="str">
        <f t="shared" ca="1" si="36"/>
        <v>Food &amp; Beverages</v>
      </c>
      <c r="D342" t="str">
        <f t="shared" ca="1" si="37"/>
        <v>Coffee Pack</v>
      </c>
      <c r="E342" t="str">
        <f t="shared" ca="1" si="38"/>
        <v>West</v>
      </c>
      <c r="F342">
        <f t="shared" ca="1" si="39"/>
        <v>5479</v>
      </c>
      <c r="G342">
        <f t="shared" ca="1" si="40"/>
        <v>26</v>
      </c>
      <c r="H342">
        <f t="shared" ca="1" si="41"/>
        <v>142454</v>
      </c>
    </row>
    <row r="343" spans="1:8" x14ac:dyDescent="0.3">
      <c r="A343" s="1">
        <v>45999</v>
      </c>
      <c r="B343" t="str">
        <f t="shared" si="35"/>
        <v>ORD342</v>
      </c>
      <c r="C343" t="str">
        <f t="shared" ca="1" si="36"/>
        <v>Clothing</v>
      </c>
      <c r="D343" t="str">
        <f t="shared" ca="1" si="37"/>
        <v>Dress</v>
      </c>
      <c r="E343" t="str">
        <f t="shared" ca="1" si="38"/>
        <v>East</v>
      </c>
      <c r="F343">
        <f t="shared" ca="1" si="39"/>
        <v>6877</v>
      </c>
      <c r="G343">
        <f t="shared" ca="1" si="40"/>
        <v>17</v>
      </c>
      <c r="H343">
        <f t="shared" ca="1" si="41"/>
        <v>116909</v>
      </c>
    </row>
    <row r="344" spans="1:8" x14ac:dyDescent="0.3">
      <c r="A344" s="1">
        <v>46000</v>
      </c>
      <c r="B344" t="str">
        <f t="shared" si="35"/>
        <v>ORD343</v>
      </c>
      <c r="C344" t="str">
        <f t="shared" ca="1" si="36"/>
        <v>Sports Equipment</v>
      </c>
      <c r="D344" t="str">
        <f t="shared" ca="1" si="37"/>
        <v>Dumbbells</v>
      </c>
      <c r="E344" t="str">
        <f t="shared" ca="1" si="38"/>
        <v>South</v>
      </c>
      <c r="F344">
        <f t="shared" ca="1" si="39"/>
        <v>6715</v>
      </c>
      <c r="G344">
        <f t="shared" ca="1" si="40"/>
        <v>4</v>
      </c>
      <c r="H344">
        <f t="shared" ca="1" si="41"/>
        <v>26860</v>
      </c>
    </row>
    <row r="345" spans="1:8" x14ac:dyDescent="0.3">
      <c r="A345" s="1">
        <v>46001</v>
      </c>
      <c r="B345" t="str">
        <f t="shared" si="35"/>
        <v>ORD344</v>
      </c>
      <c r="C345" t="str">
        <f t="shared" ca="1" si="36"/>
        <v>Furniture</v>
      </c>
      <c r="D345" t="str">
        <f t="shared" ca="1" si="37"/>
        <v>Sofa</v>
      </c>
      <c r="E345" t="str">
        <f t="shared" ca="1" si="38"/>
        <v>East</v>
      </c>
      <c r="F345">
        <f t="shared" ca="1" si="39"/>
        <v>27060</v>
      </c>
      <c r="G345">
        <f t="shared" ca="1" si="40"/>
        <v>3</v>
      </c>
      <c r="H345">
        <f t="shared" ca="1" si="41"/>
        <v>81180</v>
      </c>
    </row>
    <row r="346" spans="1:8" x14ac:dyDescent="0.3">
      <c r="A346" s="1">
        <v>46002</v>
      </c>
      <c r="B346" t="str">
        <f t="shared" si="35"/>
        <v>ORD345</v>
      </c>
      <c r="C346" t="str">
        <f t="shared" ca="1" si="36"/>
        <v>Clothing</v>
      </c>
      <c r="D346" t="str">
        <f t="shared" ca="1" si="37"/>
        <v>Jeans</v>
      </c>
      <c r="E346" t="str">
        <f t="shared" ca="1" si="38"/>
        <v>North</v>
      </c>
      <c r="F346">
        <f t="shared" ca="1" si="39"/>
        <v>13343</v>
      </c>
      <c r="G346">
        <f t="shared" ca="1" si="40"/>
        <v>18</v>
      </c>
      <c r="H346">
        <f t="shared" ca="1" si="41"/>
        <v>240174</v>
      </c>
    </row>
    <row r="347" spans="1:8" x14ac:dyDescent="0.3">
      <c r="A347" s="1">
        <v>46003</v>
      </c>
      <c r="B347" t="str">
        <f t="shared" si="35"/>
        <v>ORD346</v>
      </c>
      <c r="C347" t="str">
        <f t="shared" ca="1" si="36"/>
        <v>Electronics</v>
      </c>
      <c r="D347" t="str">
        <f t="shared" ca="1" si="37"/>
        <v>Laptop</v>
      </c>
      <c r="E347" t="str">
        <f t="shared" ca="1" si="38"/>
        <v>East</v>
      </c>
      <c r="F347">
        <f t="shared" ca="1" si="39"/>
        <v>68202</v>
      </c>
      <c r="G347">
        <f t="shared" ca="1" si="40"/>
        <v>22</v>
      </c>
      <c r="H347">
        <f t="shared" ca="1" si="41"/>
        <v>1500444</v>
      </c>
    </row>
    <row r="348" spans="1:8" x14ac:dyDescent="0.3">
      <c r="A348" s="1">
        <v>46004</v>
      </c>
      <c r="B348" t="str">
        <f t="shared" si="35"/>
        <v>ORD347</v>
      </c>
      <c r="C348" t="str">
        <f t="shared" ca="1" si="36"/>
        <v>Electronics</v>
      </c>
      <c r="D348" t="str">
        <f t="shared" ca="1" si="37"/>
        <v>Tablet</v>
      </c>
      <c r="E348" t="str">
        <f t="shared" ca="1" si="38"/>
        <v>South</v>
      </c>
      <c r="F348">
        <f t="shared" ca="1" si="39"/>
        <v>46650</v>
      </c>
      <c r="G348">
        <f t="shared" ca="1" si="40"/>
        <v>13</v>
      </c>
      <c r="H348">
        <f t="shared" ca="1" si="41"/>
        <v>606450</v>
      </c>
    </row>
    <row r="349" spans="1:8" x14ac:dyDescent="0.3">
      <c r="A349" s="1">
        <v>46005</v>
      </c>
      <c r="B349" t="str">
        <f t="shared" si="35"/>
        <v>ORD348</v>
      </c>
      <c r="C349" t="str">
        <f t="shared" ca="1" si="36"/>
        <v>Clothing</v>
      </c>
      <c r="D349" t="str">
        <f t="shared" ca="1" si="37"/>
        <v>Jeans</v>
      </c>
      <c r="E349" t="str">
        <f t="shared" ca="1" si="38"/>
        <v>South</v>
      </c>
      <c r="F349">
        <f t="shared" ca="1" si="39"/>
        <v>5665</v>
      </c>
      <c r="G349">
        <f t="shared" ca="1" si="40"/>
        <v>11</v>
      </c>
      <c r="H349">
        <f t="shared" ca="1" si="41"/>
        <v>62315</v>
      </c>
    </row>
    <row r="350" spans="1:8" x14ac:dyDescent="0.3">
      <c r="A350" s="1">
        <v>46006</v>
      </c>
      <c r="B350" t="str">
        <f t="shared" si="35"/>
        <v>ORD349</v>
      </c>
      <c r="C350" t="str">
        <f t="shared" ca="1" si="36"/>
        <v>Sports Equipment</v>
      </c>
      <c r="D350" t="str">
        <f t="shared" ca="1" si="37"/>
        <v>Football</v>
      </c>
      <c r="E350" t="str">
        <f t="shared" ca="1" si="38"/>
        <v>North</v>
      </c>
      <c r="F350">
        <f t="shared" ca="1" si="39"/>
        <v>22837</v>
      </c>
      <c r="G350">
        <f t="shared" ca="1" si="40"/>
        <v>6</v>
      </c>
      <c r="H350">
        <f t="shared" ca="1" si="41"/>
        <v>137022</v>
      </c>
    </row>
    <row r="351" spans="1:8" x14ac:dyDescent="0.3">
      <c r="A351" s="1">
        <v>46007</v>
      </c>
      <c r="B351" t="str">
        <f t="shared" si="35"/>
        <v>ORD350</v>
      </c>
      <c r="C351" t="str">
        <f t="shared" ca="1" si="36"/>
        <v>Stationery</v>
      </c>
      <c r="D351" t="str">
        <f t="shared" ca="1" si="37"/>
        <v>Notebook</v>
      </c>
      <c r="E351" t="str">
        <f t="shared" ca="1" si="38"/>
        <v>South</v>
      </c>
      <c r="F351">
        <f t="shared" ca="1" si="39"/>
        <v>4125</v>
      </c>
      <c r="G351">
        <f t="shared" ca="1" si="40"/>
        <v>9</v>
      </c>
      <c r="H351">
        <f t="shared" ca="1" si="41"/>
        <v>37125</v>
      </c>
    </row>
    <row r="352" spans="1:8" x14ac:dyDescent="0.3">
      <c r="A352" s="1">
        <v>46008</v>
      </c>
      <c r="B352" t="str">
        <f t="shared" si="35"/>
        <v>ORD351</v>
      </c>
      <c r="C352" t="str">
        <f t="shared" ca="1" si="36"/>
        <v>Electronics</v>
      </c>
      <c r="D352" t="str">
        <f t="shared" ca="1" si="37"/>
        <v>Laptop</v>
      </c>
      <c r="E352" t="str">
        <f t="shared" ca="1" si="38"/>
        <v>South</v>
      </c>
      <c r="F352">
        <f t="shared" ca="1" si="39"/>
        <v>39523</v>
      </c>
      <c r="G352">
        <f t="shared" ca="1" si="40"/>
        <v>27</v>
      </c>
      <c r="H352">
        <f t="shared" ca="1" si="41"/>
        <v>1067121</v>
      </c>
    </row>
    <row r="353" spans="1:8" x14ac:dyDescent="0.3">
      <c r="A353" s="1">
        <v>46009</v>
      </c>
      <c r="B353" t="str">
        <f t="shared" si="35"/>
        <v>ORD352</v>
      </c>
      <c r="C353" t="str">
        <f t="shared" ca="1" si="36"/>
        <v>Furniture</v>
      </c>
      <c r="D353" t="str">
        <f t="shared" ca="1" si="37"/>
        <v>Chair</v>
      </c>
      <c r="E353" t="str">
        <f t="shared" ca="1" si="38"/>
        <v>North</v>
      </c>
      <c r="F353">
        <f t="shared" ca="1" si="39"/>
        <v>5867</v>
      </c>
      <c r="G353">
        <f t="shared" ca="1" si="40"/>
        <v>21</v>
      </c>
      <c r="H353">
        <f t="shared" ca="1" si="41"/>
        <v>123207</v>
      </c>
    </row>
    <row r="354" spans="1:8" x14ac:dyDescent="0.3">
      <c r="A354" s="1">
        <v>46010</v>
      </c>
      <c r="B354" t="str">
        <f t="shared" si="35"/>
        <v>ORD353</v>
      </c>
      <c r="C354" t="str">
        <f t="shared" ca="1" si="36"/>
        <v>Electronics</v>
      </c>
      <c r="D354" t="str">
        <f t="shared" ca="1" si="37"/>
        <v>Smartphone</v>
      </c>
      <c r="E354" t="str">
        <f t="shared" ca="1" si="38"/>
        <v>North</v>
      </c>
      <c r="F354">
        <f t="shared" ca="1" si="39"/>
        <v>57581</v>
      </c>
      <c r="G354">
        <f t="shared" ca="1" si="40"/>
        <v>25</v>
      </c>
      <c r="H354">
        <f t="shared" ca="1" si="41"/>
        <v>1439525</v>
      </c>
    </row>
    <row r="355" spans="1:8" x14ac:dyDescent="0.3">
      <c r="A355" s="1">
        <v>46011</v>
      </c>
      <c r="B355" t="str">
        <f t="shared" si="35"/>
        <v>ORD354</v>
      </c>
      <c r="C355" t="str">
        <f t="shared" ca="1" si="36"/>
        <v>Electronics</v>
      </c>
      <c r="D355" t="str">
        <f t="shared" ca="1" si="37"/>
        <v>Laptop</v>
      </c>
      <c r="E355" t="str">
        <f t="shared" ca="1" si="38"/>
        <v>North</v>
      </c>
      <c r="F355">
        <f t="shared" ca="1" si="39"/>
        <v>47987</v>
      </c>
      <c r="G355">
        <f t="shared" ca="1" si="40"/>
        <v>18</v>
      </c>
      <c r="H355">
        <f t="shared" ca="1" si="41"/>
        <v>863766</v>
      </c>
    </row>
    <row r="356" spans="1:8" x14ac:dyDescent="0.3">
      <c r="A356" s="1">
        <v>46012</v>
      </c>
      <c r="B356" t="str">
        <f t="shared" si="35"/>
        <v>ORD355</v>
      </c>
      <c r="C356" t="str">
        <f t="shared" ca="1" si="36"/>
        <v>Clothing</v>
      </c>
      <c r="D356" t="str">
        <f t="shared" ca="1" si="37"/>
        <v>Shoes</v>
      </c>
      <c r="E356" t="str">
        <f t="shared" ca="1" si="38"/>
        <v>North</v>
      </c>
      <c r="F356">
        <f t="shared" ca="1" si="39"/>
        <v>11042</v>
      </c>
      <c r="G356">
        <f t="shared" ca="1" si="40"/>
        <v>2</v>
      </c>
      <c r="H356">
        <f t="shared" ca="1" si="41"/>
        <v>22084</v>
      </c>
    </row>
    <row r="357" spans="1:8" x14ac:dyDescent="0.3">
      <c r="A357" s="1">
        <v>46013</v>
      </c>
      <c r="B357" t="str">
        <f t="shared" si="35"/>
        <v>ORD356</v>
      </c>
      <c r="C357" t="str">
        <f t="shared" ca="1" si="36"/>
        <v>Clothing</v>
      </c>
      <c r="D357" t="str">
        <f t="shared" ca="1" si="37"/>
        <v>Dress</v>
      </c>
      <c r="E357" t="str">
        <f t="shared" ca="1" si="38"/>
        <v>South</v>
      </c>
      <c r="F357">
        <f t="shared" ca="1" si="39"/>
        <v>4714</v>
      </c>
      <c r="G357">
        <f t="shared" ca="1" si="40"/>
        <v>15</v>
      </c>
      <c r="H357">
        <f t="shared" ca="1" si="41"/>
        <v>70710</v>
      </c>
    </row>
    <row r="358" spans="1:8" x14ac:dyDescent="0.3">
      <c r="A358" s="1">
        <v>46014</v>
      </c>
      <c r="B358" t="str">
        <f t="shared" si="35"/>
        <v>ORD357</v>
      </c>
      <c r="C358" t="str">
        <f t="shared" ca="1" si="36"/>
        <v>Food &amp; Beverages</v>
      </c>
      <c r="D358" t="str">
        <f t="shared" ca="1" si="37"/>
        <v>Coffee Pack</v>
      </c>
      <c r="E358" t="str">
        <f t="shared" ca="1" si="38"/>
        <v>West</v>
      </c>
      <c r="F358">
        <f t="shared" ca="1" si="39"/>
        <v>1182</v>
      </c>
      <c r="G358">
        <f t="shared" ca="1" si="40"/>
        <v>21</v>
      </c>
      <c r="H358">
        <f t="shared" ca="1" si="41"/>
        <v>24822</v>
      </c>
    </row>
    <row r="359" spans="1:8" x14ac:dyDescent="0.3">
      <c r="A359" s="1">
        <v>46015</v>
      </c>
      <c r="B359" t="str">
        <f t="shared" si="35"/>
        <v>ORD358</v>
      </c>
      <c r="C359" t="str">
        <f t="shared" ca="1" si="36"/>
        <v>Clothing</v>
      </c>
      <c r="D359" t="str">
        <f t="shared" ca="1" si="37"/>
        <v>Dress</v>
      </c>
      <c r="E359" t="str">
        <f t="shared" ca="1" si="38"/>
        <v>West</v>
      </c>
      <c r="F359">
        <f t="shared" ca="1" si="39"/>
        <v>2104</v>
      </c>
      <c r="G359">
        <f t="shared" ca="1" si="40"/>
        <v>4</v>
      </c>
      <c r="H359">
        <f t="shared" ca="1" si="41"/>
        <v>8416</v>
      </c>
    </row>
    <row r="360" spans="1:8" x14ac:dyDescent="0.3">
      <c r="A360" s="1">
        <v>46016</v>
      </c>
      <c r="B360" t="str">
        <f t="shared" si="35"/>
        <v>ORD359</v>
      </c>
      <c r="C360" t="str">
        <f t="shared" ca="1" si="36"/>
        <v>Clothing</v>
      </c>
      <c r="D360" t="str">
        <f t="shared" ca="1" si="37"/>
        <v>Dress</v>
      </c>
      <c r="E360" t="str">
        <f t="shared" ca="1" si="38"/>
        <v>South</v>
      </c>
      <c r="F360">
        <f t="shared" ca="1" si="39"/>
        <v>14013</v>
      </c>
      <c r="G360">
        <f t="shared" ca="1" si="40"/>
        <v>24</v>
      </c>
      <c r="H360">
        <f t="shared" ca="1" si="41"/>
        <v>336312</v>
      </c>
    </row>
    <row r="361" spans="1:8" x14ac:dyDescent="0.3">
      <c r="A361" s="1">
        <v>46017</v>
      </c>
      <c r="B361" t="str">
        <f t="shared" si="35"/>
        <v>ORD360</v>
      </c>
      <c r="C361" t="str">
        <f t="shared" ca="1" si="36"/>
        <v>Furniture</v>
      </c>
      <c r="D361" t="str">
        <f t="shared" ca="1" si="37"/>
        <v>Bookshelf</v>
      </c>
      <c r="E361" t="str">
        <f t="shared" ca="1" si="38"/>
        <v>North</v>
      </c>
      <c r="F361">
        <f t="shared" ca="1" si="39"/>
        <v>22749</v>
      </c>
      <c r="G361">
        <f t="shared" ca="1" si="40"/>
        <v>12</v>
      </c>
      <c r="H361">
        <f t="shared" ca="1" si="41"/>
        <v>272988</v>
      </c>
    </row>
    <row r="362" spans="1:8" x14ac:dyDescent="0.3">
      <c r="A362" s="1">
        <v>46018</v>
      </c>
      <c r="B362" t="str">
        <f t="shared" si="35"/>
        <v>ORD361</v>
      </c>
      <c r="C362" t="str">
        <f t="shared" ca="1" si="36"/>
        <v>Sports Equipment</v>
      </c>
      <c r="D362" t="str">
        <f t="shared" ca="1" si="37"/>
        <v>Bicycle</v>
      </c>
      <c r="E362" t="str">
        <f t="shared" ca="1" si="38"/>
        <v>South</v>
      </c>
      <c r="F362">
        <f t="shared" ca="1" si="39"/>
        <v>5076</v>
      </c>
      <c r="G362">
        <f t="shared" ca="1" si="40"/>
        <v>23</v>
      </c>
      <c r="H362">
        <f t="shared" ca="1" si="41"/>
        <v>116748</v>
      </c>
    </row>
    <row r="363" spans="1:8" x14ac:dyDescent="0.3">
      <c r="A363" s="1">
        <v>46019</v>
      </c>
      <c r="B363" t="str">
        <f t="shared" si="35"/>
        <v>ORD362</v>
      </c>
      <c r="C363" t="str">
        <f t="shared" ca="1" si="36"/>
        <v>Furniture</v>
      </c>
      <c r="D363" t="str">
        <f t="shared" ca="1" si="37"/>
        <v>Sofa</v>
      </c>
      <c r="E363" t="str">
        <f t="shared" ca="1" si="38"/>
        <v>North</v>
      </c>
      <c r="F363">
        <f t="shared" ca="1" si="39"/>
        <v>7829</v>
      </c>
      <c r="G363">
        <f t="shared" ca="1" si="40"/>
        <v>8</v>
      </c>
      <c r="H363">
        <f t="shared" ca="1" si="41"/>
        <v>62632</v>
      </c>
    </row>
    <row r="364" spans="1:8" x14ac:dyDescent="0.3">
      <c r="A364" s="1">
        <v>46020</v>
      </c>
      <c r="B364" t="str">
        <f t="shared" si="35"/>
        <v>ORD363</v>
      </c>
      <c r="C364" t="str">
        <f t="shared" ca="1" si="36"/>
        <v>Food &amp; Beverages</v>
      </c>
      <c r="D364" t="str">
        <f t="shared" ca="1" si="37"/>
        <v>Snack Box</v>
      </c>
      <c r="E364" t="str">
        <f t="shared" ca="1" si="38"/>
        <v>North</v>
      </c>
      <c r="F364">
        <f t="shared" ca="1" si="39"/>
        <v>7457</v>
      </c>
      <c r="G364">
        <f t="shared" ca="1" si="40"/>
        <v>20</v>
      </c>
      <c r="H364">
        <f t="shared" ca="1" si="41"/>
        <v>149140</v>
      </c>
    </row>
    <row r="365" spans="1:8" x14ac:dyDescent="0.3">
      <c r="A365" s="1">
        <v>46021</v>
      </c>
      <c r="B365" t="str">
        <f t="shared" si="35"/>
        <v>ORD364</v>
      </c>
      <c r="C365" t="str">
        <f t="shared" ca="1" si="36"/>
        <v>Clothing</v>
      </c>
      <c r="D365" t="str">
        <f t="shared" ca="1" si="37"/>
        <v>Jacket</v>
      </c>
      <c r="E365" t="str">
        <f t="shared" ca="1" si="38"/>
        <v>West</v>
      </c>
      <c r="F365">
        <f t="shared" ca="1" si="39"/>
        <v>11775</v>
      </c>
      <c r="G365">
        <f t="shared" ca="1" si="40"/>
        <v>15</v>
      </c>
      <c r="H365">
        <f t="shared" ca="1" si="41"/>
        <v>176625</v>
      </c>
    </row>
    <row r="366" spans="1:8" x14ac:dyDescent="0.3">
      <c r="A366" s="1">
        <v>46022</v>
      </c>
      <c r="B366" t="str">
        <f t="shared" si="35"/>
        <v>ORD365</v>
      </c>
      <c r="C366" t="str">
        <f t="shared" ca="1" si="36"/>
        <v>Furniture</v>
      </c>
      <c r="D366" t="str">
        <f t="shared" ca="1" si="37"/>
        <v>Chair</v>
      </c>
      <c r="E366" t="str">
        <f t="shared" ca="1" si="38"/>
        <v>East</v>
      </c>
      <c r="F366">
        <f t="shared" ca="1" si="39"/>
        <v>12706</v>
      </c>
      <c r="G366">
        <f t="shared" ca="1" si="40"/>
        <v>15</v>
      </c>
      <c r="H366">
        <f t="shared" ca="1" si="41"/>
        <v>190590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182E-83D2-4179-AC01-CFED7F85D835}">
  <dimension ref="A1:H7"/>
  <sheetViews>
    <sheetView topLeftCell="A54" workbookViewId="0">
      <selection activeCell="B5" sqref="B5"/>
    </sheetView>
  </sheetViews>
  <sheetFormatPr defaultRowHeight="14.4" x14ac:dyDescent="0.3"/>
  <cols>
    <col min="1" max="1" width="12.5546875" bestFit="1" customWidth="1"/>
    <col min="2" max="2" width="19.21875" bestFit="1" customWidth="1"/>
    <col min="3" max="3" width="14.21875" customWidth="1"/>
    <col min="4" max="4" width="12.5546875" bestFit="1" customWidth="1"/>
    <col min="5" max="5" width="19.21875" bestFit="1" customWidth="1"/>
    <col min="7" max="7" width="12.5546875" bestFit="1" customWidth="1"/>
    <col min="8" max="8" width="19.109375" bestFit="1" customWidth="1"/>
  </cols>
  <sheetData>
    <row r="1" spans="1:8" x14ac:dyDescent="0.3">
      <c r="A1" s="2" t="s">
        <v>9</v>
      </c>
      <c r="B1" t="s">
        <v>11</v>
      </c>
      <c r="D1" s="2" t="s">
        <v>9</v>
      </c>
      <c r="E1" t="s">
        <v>11</v>
      </c>
      <c r="G1" s="2" t="s">
        <v>9</v>
      </c>
      <c r="H1" t="s">
        <v>17</v>
      </c>
    </row>
    <row r="2" spans="1:8" x14ac:dyDescent="0.3">
      <c r="A2" s="3">
        <v>45658</v>
      </c>
      <c r="B2">
        <v>540765</v>
      </c>
      <c r="D2" s="4" t="s">
        <v>7</v>
      </c>
      <c r="E2">
        <v>101920</v>
      </c>
      <c r="G2" s="4" t="s">
        <v>14</v>
      </c>
      <c r="H2">
        <v>274</v>
      </c>
    </row>
    <row r="3" spans="1:8" x14ac:dyDescent="0.3">
      <c r="A3" s="3">
        <v>45659</v>
      </c>
      <c r="B3">
        <v>1511330</v>
      </c>
      <c r="D3" s="4" t="s">
        <v>10</v>
      </c>
      <c r="E3">
        <v>101920</v>
      </c>
      <c r="G3" s="4" t="s">
        <v>12</v>
      </c>
      <c r="H3">
        <v>271</v>
      </c>
    </row>
    <row r="4" spans="1:8" x14ac:dyDescent="0.3">
      <c r="A4" s="3">
        <v>45660</v>
      </c>
      <c r="B4">
        <v>195144</v>
      </c>
      <c r="G4" s="4" t="s">
        <v>15</v>
      </c>
      <c r="H4">
        <v>262</v>
      </c>
    </row>
    <row r="5" spans="1:8" x14ac:dyDescent="0.3">
      <c r="A5" s="3">
        <v>45661</v>
      </c>
      <c r="B5">
        <v>190021</v>
      </c>
      <c r="G5" s="4" t="s">
        <v>13</v>
      </c>
      <c r="H5">
        <v>252</v>
      </c>
    </row>
    <row r="6" spans="1:8" x14ac:dyDescent="0.3">
      <c r="A6" s="3" t="s">
        <v>10</v>
      </c>
      <c r="B6">
        <v>2437260</v>
      </c>
      <c r="G6" s="4" t="s">
        <v>16</v>
      </c>
      <c r="H6">
        <v>242</v>
      </c>
    </row>
    <row r="7" spans="1:8" x14ac:dyDescent="0.3">
      <c r="G7" s="4" t="s">
        <v>10</v>
      </c>
      <c r="H7">
        <v>1301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ECBA-5354-4344-BBB0-72EFBB996490}">
  <dimension ref="A1"/>
  <sheetViews>
    <sheetView showGridLines="0" showRowColHeaders="0" tabSelected="1" workbookViewId="0">
      <selection activeCell="U23" sqref="U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Trapti Chauhan</dc:creator>
  <cp:lastModifiedBy>Trapti Chauhan</cp:lastModifiedBy>
  <dcterms:created xsi:type="dcterms:W3CDTF">2026-04-06T08:02:32Z</dcterms:created>
  <dcterms:modified xsi:type="dcterms:W3CDTF">2026-04-10T16:35:33Z</dcterms:modified>
</cp:coreProperties>
</file>